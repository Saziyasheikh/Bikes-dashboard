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OneDrive\Documents\"/>
    </mc:Choice>
  </mc:AlternateContent>
  <xr:revisionPtr revIDLastSave="0" documentId="13_ncr:1_{57B5A2F3-09D4-4E80-A778-BF28A65FF8C5}" xr6:coauthVersionLast="47" xr6:coauthVersionMax="47" xr10:uidLastSave="{00000000-0000-0000-0000-000000000000}"/>
  <bookViews>
    <workbookView xWindow="-120" yWindow="-120" windowWidth="20730" windowHeight="11040" firstSheet="4" activeTab="10" xr2:uid="{175B67CA-0A9F-4455-AF4B-7B2DEF2674F0}"/>
  </bookViews>
  <sheets>
    <sheet name="Sheet3" sheetId="3" r:id="rId1"/>
    <sheet name="Sheet9" sheetId="16" r:id="rId2"/>
    <sheet name="Sheet4" sheetId="4" r:id="rId3"/>
    <sheet name="Sheet5" sheetId="5" r:id="rId4"/>
    <sheet name="Sheet2" sheetId="13" r:id="rId5"/>
    <sheet name="Sheet6" sheetId="14" r:id="rId6"/>
    <sheet name="Sheet8" sheetId="15" r:id="rId7"/>
    <sheet name="Sheet10" sheetId="17" r:id="rId8"/>
    <sheet name="Sheet1" sheetId="1" r:id="rId9"/>
    <sheet name="Sheet7" sheetId="12" r:id="rId10"/>
    <sheet name="dashboard" sheetId="18" r:id="rId11"/>
  </sheets>
  <definedNames>
    <definedName name="_xlnm.Print_Area" localSheetId="10">dashboard!$A$1:$X$28</definedName>
    <definedName name="Slicer_Occupation">#N/A</definedName>
    <definedName name="Slicer_Region">#N/A</definedName>
  </definedNames>
  <calcPr calcId="191029"/>
  <pivotCaches>
    <pivotCache cacheId="1" r:id="rId12"/>
    <pivotCache cacheId="2"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28" i="1" l="1"/>
  <c r="B8" i="3"/>
  <c r="B8" i="4"/>
  <c r="B12" i="5"/>
</calcChain>
</file>

<file path=xl/sharedStrings.xml><?xml version="1.0" encoding="utf-8"?>
<sst xmlns="http://schemas.openxmlformats.org/spreadsheetml/2006/main" count="8247" uniqueCount="46">
  <si>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</si>
  <si>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</si>
  <si>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</si>
  <si>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</si>
  <si>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</si>
  <si>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</si>
  <si>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</si>
  <si>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</si>
  <si>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</si>
  <si>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</si>
  <si>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</si>
  <si>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</si>
  <si>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</si>
  <si>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</si>
  <si>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</si>
  <si>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</si>
  <si>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</si>
  <si>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</si>
  <si>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</si>
  <si>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</si>
  <si>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</si>
  <si>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</si>
  <si>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</si>
  <si>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</si>
  <si>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</si>
  <si>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</si>
  <si>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</si>
  <si>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</si>
  <si>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</si>
  <si>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</si>
  <si>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</si>
  <si>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</si>
  <si>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</si>
  <si>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</si>
  <si>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</si>
  <si>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</si>
  <si>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Row Labels</t>
  </si>
  <si>
    <t>Grand Total</t>
  </si>
  <si>
    <t>Count of Education</t>
  </si>
  <si>
    <t>Sum of Income</t>
  </si>
  <si>
    <t>Count of Purchased Bike</t>
  </si>
  <si>
    <t>BIKES PURCHASE DASHBOARD</t>
  </si>
  <si>
    <t>It  helps to understand which type of customers are more likely to purchase bikes.</t>
  </si>
  <si>
    <t>Married customers,especially married males,have purchased more bikes.</t>
  </si>
  <si>
    <t>The proportion of educated males is slightly higher than educated females.</t>
  </si>
  <si>
    <t>Overall income is higher of male customers than from female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</si>
</sst>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Calibri"/>
      <family val="2"/>
      <scheme val="minor"/>
    </font>
    <font>
      <u/>
      <sz val="11"/>
      <color theme="1"/>
      <name val="Calibri"/>
      <family val="2"/>
      <scheme val="minor"/>
    </font>
    <font>
      <b/>
      <sz val="11"/>
      <color theme="1"/>
      <name val="Calibri"/>
      <family val="2"/>
      <scheme val="minor"/>
    </font>
    <font>
      <i/>
      <sz val="18"/>
      <color theme="1"/>
      <name val="Algerian"/>
      <family val="5"/>
    </font>
    <font>
      <sz val="16"/>
      <color theme="1"/>
      <name val="Calibri"/>
      <family val="2"/>
      <scheme val="minor"/>
    </font>
    <font>
      <i/>
      <sz val="22"/>
      <color theme="0"/>
      <name val="Algerian"/>
      <family val="5"/>
    </font>
    <font>
      <sz val="18"/>
      <color theme="0"/>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8" tint="-0.249977111117893"/>
        <bgColor indexed="64"/>
      </patternFill>
    </fill>
    <fill>
      <patternFill patternType="solid">
        <fgColor theme="4" tint="0.79998168889431442"/>
        <bgColor theme="4" tint="0.79998168889431442"/>
      </patternFill>
    </fill>
  </fills>
  <borders count="11">
    <border>
      <left/>
      <right/>
      <top/>
      <bottom/>
      <diagonal/>
    </border>
    <border>
      <left/>
      <right/>
      <top/>
      <bottom style="thin">
        <color theme="4" tint="0.3999755851924192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26">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2" fillId="4" borderId="1" xfId="0" applyFont="1" applyFill="1" applyBorder="1"/>
    <xf numFmtId="0" fontId="2" fillId="0" borderId="1" xfId="0" applyFont="1" applyBorder="1"/>
    <xf numFmtId="0" fontId="2" fillId="0" borderId="1" xfId="0" applyFont="1" applyBorder="1" applyAlignment="1">
      <alignment horizontal="left"/>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2" borderId="0" xfId="0" applyFill="1" applyAlignment="1">
      <alignment wrapText="1"/>
    </xf>
    <xf numFmtId="0" fontId="3" fillId="3" borderId="0" xfId="0" applyFont="1" applyFill="1" applyAlignment="1">
      <alignment horizontal="left" vertical="top" indent="1"/>
    </xf>
    <xf numFmtId="0" fontId="4" fillId="3" borderId="0" xfId="0" applyFont="1" applyFill="1" applyAlignment="1">
      <alignment horizontal="left" vertical="top" indent="1"/>
    </xf>
    <xf numFmtId="0" fontId="5" fillId="3" borderId="0" xfId="0" applyFont="1" applyFill="1" applyAlignment="1">
      <alignment horizontal="center" vertical="center"/>
    </xf>
    <xf numFmtId="0" fontId="6" fillId="3" borderId="0" xfId="0" applyFont="1" applyFill="1" applyAlignment="1">
      <alignment horizontal="left" vertical="top"/>
    </xf>
    <xf numFmtId="0" fontId="0" fillId="2" borderId="0" xfId="0"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dash.xlsx]Sheet3!PivotTable1</c:name>
    <c:fmtId val="0"/>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w="19050">
            <a:solidFill>
              <a:schemeClr val="lt1"/>
            </a:solidFill>
          </a:ln>
          <a:effectLst/>
        </c:spPr>
      </c:pivotFmt>
      <c:pivotFmt>
        <c:idx val="2"/>
        <c:spPr>
          <a:solidFill>
            <a:schemeClr val="accent4">
              <a:shade val="76000"/>
            </a:schemeClr>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BF05-4C65-A829-3C418995F024}"/>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BF05-4C65-A829-3C418995F024}"/>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Sheet3!$A$4:$A$6</c:f>
              <c:strCache>
                <c:ptCount val="2"/>
                <c:pt idx="0">
                  <c:v>F</c:v>
                </c:pt>
                <c:pt idx="1">
                  <c:v>M</c:v>
                </c:pt>
              </c:strCache>
            </c:strRef>
          </c:cat>
          <c:val>
            <c:numRef>
              <c:f>Sheet3!$B$4:$B$6</c:f>
              <c:numCache>
                <c:formatCode>General</c:formatCode>
                <c:ptCount val="2"/>
                <c:pt idx="0">
                  <c:v>32</c:v>
                </c:pt>
                <c:pt idx="1">
                  <c:v>35</c:v>
                </c:pt>
              </c:numCache>
            </c:numRef>
          </c:val>
          <c:extLst>
            <c:ext xmlns:c16="http://schemas.microsoft.com/office/drawing/2014/chart" uri="{C3380CC4-5D6E-409C-BE32-E72D297353CC}">
              <c16:uniqueId val="{00000000-527A-4B4F-8EB1-39D426B4062D}"/>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dash.xlsx]Sheet4!PivotTable2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14-4E15-85F8-760D09B9DA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14-4E15-85F8-760D09B9DA67}"/>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Sheet4!$A$4:$A$6</c:f>
              <c:strCache>
                <c:ptCount val="2"/>
                <c:pt idx="0">
                  <c:v>F</c:v>
                </c:pt>
                <c:pt idx="1">
                  <c:v>M</c:v>
                </c:pt>
              </c:strCache>
            </c:strRef>
          </c:cat>
          <c:val>
            <c:numRef>
              <c:f>Sheet4!$B$4:$B$6</c:f>
              <c:numCache>
                <c:formatCode>"$"#,##0.00</c:formatCode>
                <c:ptCount val="2"/>
                <c:pt idx="0">
                  <c:v>2540000</c:v>
                </c:pt>
                <c:pt idx="1">
                  <c:v>2680000</c:v>
                </c:pt>
              </c:numCache>
            </c:numRef>
          </c:val>
          <c:extLst>
            <c:ext xmlns:c16="http://schemas.microsoft.com/office/drawing/2014/chart" uri="{C3380CC4-5D6E-409C-BE32-E72D297353CC}">
              <c16:uniqueId val="{00000000-753D-4E5D-B471-0FDCB67868DD}"/>
            </c:ext>
          </c:extLst>
        </c:ser>
        <c:dLbls>
          <c:showLegendKey val="0"/>
          <c:showVal val="1"/>
          <c:showCatName val="0"/>
          <c:showSerName val="0"/>
          <c:showPercent val="0"/>
          <c:showBubbleSize val="0"/>
          <c:showLeaderLines val="0"/>
        </c:dLbls>
        <c:firstSliceAng val="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dash.xlsx]Sheet5!PivotTable3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646981627296589"/>
          <c:y val="0.25462962962962965"/>
          <c:w val="0.54766163604549434"/>
          <c:h val="0.54307159521726456"/>
        </c:manualLayout>
      </c:layout>
      <c:bar3DChart>
        <c:barDir val="col"/>
        <c:grouping val="standar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Sheet5!$A$4:$A$10</c:f>
              <c:multiLvlStrCache>
                <c:ptCount val="4"/>
                <c:lvl>
                  <c:pt idx="0">
                    <c:v>F</c:v>
                  </c:pt>
                  <c:pt idx="1">
                    <c:v>M</c:v>
                  </c:pt>
                  <c:pt idx="2">
                    <c:v>F</c:v>
                  </c:pt>
                  <c:pt idx="3">
                    <c:v>M</c:v>
                  </c:pt>
                </c:lvl>
                <c:lvl>
                  <c:pt idx="0">
                    <c:v>M</c:v>
                  </c:pt>
                  <c:pt idx="2">
                    <c:v>S</c:v>
                  </c:pt>
                </c:lvl>
              </c:multiLvlStrCache>
            </c:multiLvlStrRef>
          </c:cat>
          <c:val>
            <c:numRef>
              <c:f>Sheet5!$B$4:$B$10</c:f>
              <c:numCache>
                <c:formatCode>General</c:formatCode>
                <c:ptCount val="4"/>
                <c:pt idx="0">
                  <c:v>8</c:v>
                </c:pt>
                <c:pt idx="1">
                  <c:v>14</c:v>
                </c:pt>
                <c:pt idx="2">
                  <c:v>24</c:v>
                </c:pt>
                <c:pt idx="3">
                  <c:v>21</c:v>
                </c:pt>
              </c:numCache>
            </c:numRef>
          </c:val>
          <c:extLst>
            <c:ext xmlns:c16="http://schemas.microsoft.com/office/drawing/2014/chart" uri="{C3380CC4-5D6E-409C-BE32-E72D297353CC}">
              <c16:uniqueId val="{00000000-2EEF-4DCB-BC0D-55329E3A92AA}"/>
            </c:ext>
          </c:extLst>
        </c:ser>
        <c:dLbls>
          <c:showLegendKey val="0"/>
          <c:showVal val="1"/>
          <c:showCatName val="0"/>
          <c:showSerName val="0"/>
          <c:showPercent val="0"/>
          <c:showBubbleSize val="0"/>
        </c:dLbls>
        <c:gapWidth val="150"/>
        <c:shape val="box"/>
        <c:axId val="1308682352"/>
        <c:axId val="1308682832"/>
        <c:axId val="1220160352"/>
      </c:bar3DChart>
      <c:catAx>
        <c:axId val="13086823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Marital Status</a:t>
                </a:r>
              </a:p>
            </c:rich>
          </c:tx>
          <c:layout>
            <c:manualLayout>
              <c:xMode val="edge"/>
              <c:yMode val="edge"/>
              <c:x val="0.31315682414698165"/>
              <c:y val="0.88534849810440341"/>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08682832"/>
        <c:crosses val="autoZero"/>
        <c:auto val="1"/>
        <c:lblAlgn val="ctr"/>
        <c:lblOffset val="100"/>
        <c:noMultiLvlLbl val="0"/>
      </c:catAx>
      <c:valAx>
        <c:axId val="1308682832"/>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Count Of Purchased Bike</a:t>
                </a:r>
              </a:p>
            </c:rich>
          </c:tx>
          <c:layout>
            <c:manualLayout>
              <c:xMode val="edge"/>
              <c:yMode val="edge"/>
              <c:x val="0.11205266209247113"/>
              <c:y val="0.2421737386993292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08682352"/>
        <c:crosses val="autoZero"/>
        <c:crossBetween val="between"/>
      </c:valAx>
      <c:serAx>
        <c:axId val="1220160352"/>
        <c:scaling>
          <c:orientation val="minMax"/>
        </c:scaling>
        <c:delete val="1"/>
        <c:axPos val="b"/>
        <c:majorTickMark val="none"/>
        <c:minorTickMark val="none"/>
        <c:tickLblPos val="nextTo"/>
        <c:crossAx val="130868283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dash.xlsx]Sheet3!PivotTable1</c:name>
    <c:fmtId val="13"/>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Educated</a:t>
            </a:r>
            <a:r>
              <a:rPr lang="en-US" sz="18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Peoples</a:t>
            </a:r>
            <a:endParaRPr lang="en-US"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layout>
        <c:manualLayout>
          <c:xMode val="edge"/>
          <c:yMode val="edge"/>
          <c:x val="0.14599178948785252"/>
          <c:y val="2.4931441471826413E-2"/>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w="19050">
            <a:solidFill>
              <a:schemeClr val="lt1"/>
            </a:solidFill>
          </a:ln>
          <a:effectLst/>
        </c:spPr>
      </c:pivotFmt>
      <c:pivotFmt>
        <c:idx val="2"/>
        <c:spPr>
          <a:solidFill>
            <a:schemeClr val="accent4">
              <a:shade val="76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tint val="77000"/>
            </a:schemeClr>
          </a:solidFill>
          <a:ln w="19050">
            <a:solidFill>
              <a:schemeClr val="lt1"/>
            </a:solidFill>
          </a:ln>
          <a:effectLst/>
        </c:spPr>
      </c:pivotFmt>
      <c:pivotFmt>
        <c:idx val="5"/>
        <c:spPr>
          <a:solidFill>
            <a:schemeClr val="accent4">
              <a:shade val="76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tint val="77000"/>
            </a:schemeClr>
          </a:solidFill>
          <a:ln w="19050">
            <a:solidFill>
              <a:schemeClr val="lt1"/>
            </a:solidFill>
          </a:ln>
          <a:effectLst/>
        </c:spPr>
      </c:pivotFmt>
      <c:pivotFmt>
        <c:idx val="8"/>
        <c:spPr>
          <a:solidFill>
            <a:schemeClr val="accent4">
              <a:shade val="76000"/>
            </a:schemeClr>
          </a:solidFill>
          <a:ln w="19050">
            <a:solidFill>
              <a:schemeClr val="lt1"/>
            </a:solidFill>
          </a:ln>
          <a:effectLst/>
        </c:spPr>
      </c:pivotFmt>
    </c:pivotFmts>
    <c:plotArea>
      <c:layout>
        <c:manualLayout>
          <c:layoutTarget val="inner"/>
          <c:xMode val="edge"/>
          <c:yMode val="edge"/>
          <c:x val="0.16908647957466855"/>
          <c:y val="0.18895049787724572"/>
          <c:w val="0.44302362204724416"/>
          <c:h val="0.84903768073473262"/>
        </c:manualLayout>
      </c:layout>
      <c:pieChart>
        <c:varyColors val="1"/>
        <c:ser>
          <c:idx val="0"/>
          <c:order val="0"/>
          <c:tx>
            <c:strRef>
              <c:f>Sheet3!$B$3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95F8-43EF-8824-EF3EEB282B12}"/>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95F8-43EF-8824-EF3EEB282B1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Sheet3!$A$4:$A$6</c:f>
              <c:strCache>
                <c:ptCount val="2"/>
                <c:pt idx="0">
                  <c:v>F</c:v>
                </c:pt>
                <c:pt idx="1">
                  <c:v>M</c:v>
                </c:pt>
              </c:strCache>
            </c:strRef>
          </c:cat>
          <c:val>
            <c:numRef>
              <c:f>Sheet3!$B$4:$B$6</c:f>
              <c:numCache>
                <c:formatCode>General</c:formatCode>
                <c:ptCount val="2"/>
                <c:pt idx="0">
                  <c:v>32</c:v>
                </c:pt>
                <c:pt idx="1">
                  <c:v>35</c:v>
                </c:pt>
              </c:numCache>
            </c:numRef>
          </c:val>
          <c:extLst>
            <c:ext xmlns:c16="http://schemas.microsoft.com/office/drawing/2014/chart" uri="{C3380CC4-5D6E-409C-BE32-E72D297353CC}">
              <c16:uniqueId val="{00000004-95F8-43EF-8824-EF3EEB282B12}"/>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dash.xlsx]Sheet4!PivotTable2</c:name>
    <c:fmtId val="4"/>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Income</a:t>
            </a:r>
          </a:p>
        </c:rich>
      </c:tx>
      <c:layout>
        <c:manualLayout>
          <c:xMode val="edge"/>
          <c:yMode val="edge"/>
          <c:x val="0.35414185295803541"/>
          <c:y val="2.6676919291338579E-2"/>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w="19050">
            <a:solidFill>
              <a:schemeClr val="lt1"/>
            </a:solidFill>
          </a:ln>
          <a:effectLst/>
        </c:spPr>
        <c:dLbl>
          <c:idx val="0"/>
          <c:layout>
            <c:manualLayout>
              <c:x val="-0.21708268609280984"/>
              <c:y val="-6.32110030244121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hade val="76000"/>
            </a:schemeClr>
          </a:solidFill>
          <a:ln w="19050">
            <a:solidFill>
              <a:schemeClr val="lt1"/>
            </a:solidFill>
          </a:ln>
          <a:effectLst/>
        </c:spPr>
        <c:dLbl>
          <c:idx val="0"/>
          <c:layout>
            <c:manualLayout>
              <c:x val="0.21668612851964933"/>
              <c:y val="4.115586172087869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385977614867106"/>
          <c:y val="0.13767101377952756"/>
          <c:w val="0.56513409961685823"/>
          <c:h val="0.76822916666666663"/>
        </c:manualLayout>
      </c:layout>
      <c:pieChart>
        <c:varyColors val="1"/>
        <c:ser>
          <c:idx val="0"/>
          <c:order val="0"/>
          <c:tx>
            <c:strRef>
              <c:f>Sheet4!$B$3</c:f>
              <c:strCache>
                <c:ptCount val="1"/>
                <c:pt idx="0">
                  <c:v>Total</c:v>
                </c:pt>
              </c:strCache>
            </c:strRef>
          </c:tx>
          <c:explosion val="6"/>
          <c:dPt>
            <c:idx val="0"/>
            <c:bubble3D val="0"/>
            <c:explosion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CE81-41C0-B21C-975D3663FB72}"/>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CE81-41C0-B21C-975D3663FB72}"/>
              </c:ext>
            </c:extLst>
          </c:dPt>
          <c:dLbls>
            <c:dLbl>
              <c:idx val="0"/>
              <c:layout>
                <c:manualLayout>
                  <c:x val="-0.21708268609280984"/>
                  <c:y val="-6.3211003024412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E81-41C0-B21C-975D3663FB72}"/>
                </c:ext>
              </c:extLst>
            </c:dLbl>
            <c:dLbl>
              <c:idx val="1"/>
              <c:layout>
                <c:manualLayout>
                  <c:x val="0.21668612851964933"/>
                  <c:y val="4.11558617208786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E81-41C0-B21C-975D3663FB72}"/>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Sheet4!$A$4:$A$6</c:f>
              <c:strCache>
                <c:ptCount val="2"/>
                <c:pt idx="0">
                  <c:v>F</c:v>
                </c:pt>
                <c:pt idx="1">
                  <c:v>M</c:v>
                </c:pt>
              </c:strCache>
            </c:strRef>
          </c:cat>
          <c:val>
            <c:numRef>
              <c:f>Sheet4!$B$4:$B$6</c:f>
              <c:numCache>
                <c:formatCode>"$"#,##0.00</c:formatCode>
                <c:ptCount val="2"/>
                <c:pt idx="0">
                  <c:v>2540000</c:v>
                </c:pt>
                <c:pt idx="1">
                  <c:v>2680000</c:v>
                </c:pt>
              </c:numCache>
            </c:numRef>
          </c:val>
          <c:extLst>
            <c:ext xmlns:c16="http://schemas.microsoft.com/office/drawing/2014/chart" uri="{C3380CC4-5D6E-409C-BE32-E72D297353CC}">
              <c16:uniqueId val="{00000004-CE81-41C0-B21C-975D3663FB72}"/>
            </c:ext>
          </c:extLst>
        </c:ser>
        <c:dLbls>
          <c:showLegendKey val="0"/>
          <c:showVal val="1"/>
          <c:showCatName val="0"/>
          <c:showSerName val="0"/>
          <c:showPercent val="0"/>
          <c:showBubbleSize val="0"/>
          <c:showLeaderLines val="0"/>
        </c:dLbls>
        <c:firstSliceAng val="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dash.xlsx]Sheet5!PivotTable3</c:name>
    <c:fmtId val="5"/>
  </c:pivotSource>
  <c:chart>
    <c:autoTitleDeleted val="1"/>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646981627296589"/>
          <c:y val="8.6208592347009241E-2"/>
          <c:w val="0.65833348894629273"/>
          <c:h val="0.59921204586268817"/>
        </c:manualLayout>
      </c:layout>
      <c:bar3DChart>
        <c:barDir val="col"/>
        <c:grouping val="standard"/>
        <c:varyColors val="0"/>
        <c:ser>
          <c:idx val="0"/>
          <c:order val="0"/>
          <c:tx>
            <c:strRef>
              <c:f>Sheet5!$B$3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Sheet5!$A$4:$A$10</c:f>
              <c:multiLvlStrCache>
                <c:ptCount val="4"/>
                <c:lvl>
                  <c:pt idx="0">
                    <c:v>F</c:v>
                  </c:pt>
                  <c:pt idx="1">
                    <c:v>M</c:v>
                  </c:pt>
                  <c:pt idx="2">
                    <c:v>F</c:v>
                  </c:pt>
                  <c:pt idx="3">
                    <c:v>M</c:v>
                  </c:pt>
                </c:lvl>
                <c:lvl>
                  <c:pt idx="0">
                    <c:v>M</c:v>
                  </c:pt>
                  <c:pt idx="2">
                    <c:v>S</c:v>
                  </c:pt>
                </c:lvl>
              </c:multiLvlStrCache>
            </c:multiLvlStrRef>
          </c:cat>
          <c:val>
            <c:numRef>
              <c:f>Sheet5!$B$4:$B$10</c:f>
              <c:numCache>
                <c:formatCode>General</c:formatCode>
                <c:ptCount val="4"/>
                <c:pt idx="0">
                  <c:v>8</c:v>
                </c:pt>
                <c:pt idx="1">
                  <c:v>14</c:v>
                </c:pt>
                <c:pt idx="2">
                  <c:v>24</c:v>
                </c:pt>
                <c:pt idx="3">
                  <c:v>21</c:v>
                </c:pt>
              </c:numCache>
            </c:numRef>
          </c:val>
          <c:extLst>
            <c:ext xmlns:c16="http://schemas.microsoft.com/office/drawing/2014/chart" uri="{C3380CC4-5D6E-409C-BE32-E72D297353CC}">
              <c16:uniqueId val="{00000000-FE19-4DA8-B251-C59F94360C7C}"/>
            </c:ext>
          </c:extLst>
        </c:ser>
        <c:dLbls>
          <c:showLegendKey val="0"/>
          <c:showVal val="1"/>
          <c:showCatName val="0"/>
          <c:showSerName val="0"/>
          <c:showPercent val="0"/>
          <c:showBubbleSize val="0"/>
        </c:dLbls>
        <c:gapWidth val="150"/>
        <c:shape val="box"/>
        <c:axId val="1308682352"/>
        <c:axId val="1308682832"/>
        <c:axId val="1220160352"/>
      </c:bar3DChart>
      <c:catAx>
        <c:axId val="1308682352"/>
        <c:scaling>
          <c:orientation val="minMax"/>
        </c:scaling>
        <c:delete val="0"/>
        <c:axPos val="b"/>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200" b="0" cap="none" spc="0">
                    <a:ln w="0"/>
                    <a:solidFill>
                      <a:schemeClr val="tx1"/>
                    </a:solidFill>
                    <a:effectLst>
                      <a:outerShdw blurRad="38100" dist="19050" dir="2700000" algn="tl" rotWithShape="0">
                        <a:schemeClr val="dk1">
                          <a:alpha val="40000"/>
                        </a:schemeClr>
                      </a:outerShdw>
                    </a:effectLst>
                  </a:rPr>
                  <a:t>Marital Status</a:t>
                </a:r>
              </a:p>
            </c:rich>
          </c:tx>
          <c:layout>
            <c:manualLayout>
              <c:xMode val="edge"/>
              <c:yMode val="edge"/>
              <c:x val="0.31315682414698165"/>
              <c:y val="0.88534849810440341"/>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08682832"/>
        <c:crosses val="autoZero"/>
        <c:auto val="1"/>
        <c:lblAlgn val="ctr"/>
        <c:lblOffset val="100"/>
        <c:noMultiLvlLbl val="0"/>
      </c:catAx>
      <c:valAx>
        <c:axId val="1308682832"/>
        <c:scaling>
          <c:orientation val="minMax"/>
        </c:scaling>
        <c:delete val="0"/>
        <c:axPos val="l"/>
        <c:title>
          <c:tx>
            <c:rich>
              <a:bodyPr rot="-54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200" b="0" cap="none" spc="0">
                    <a:ln w="0"/>
                    <a:solidFill>
                      <a:schemeClr val="tx1"/>
                    </a:solidFill>
                    <a:effectLst>
                      <a:outerShdw blurRad="38100" dist="19050" dir="2700000" algn="tl" rotWithShape="0">
                        <a:schemeClr val="dk1">
                          <a:alpha val="40000"/>
                        </a:schemeClr>
                      </a:outerShdw>
                    </a:effectLst>
                  </a:rPr>
                  <a:t>Count Of Purchased Bike</a:t>
                </a:r>
              </a:p>
            </c:rich>
          </c:tx>
          <c:layout>
            <c:manualLayout>
              <c:xMode val="edge"/>
              <c:yMode val="edge"/>
              <c:x val="0.15157843411866007"/>
              <c:y val="0.24740260408625392"/>
            </c:manualLayout>
          </c:layout>
          <c:overlay val="0"/>
          <c:spPr>
            <a:noFill/>
            <a:ln>
              <a:noFill/>
            </a:ln>
            <a:effectLst/>
          </c:spPr>
          <c:txPr>
            <a:bodyPr rot="-54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08682352"/>
        <c:crosses val="autoZero"/>
        <c:crossBetween val="between"/>
      </c:valAx>
      <c:serAx>
        <c:axId val="1220160352"/>
        <c:scaling>
          <c:orientation val="minMax"/>
        </c:scaling>
        <c:delete val="1"/>
        <c:axPos val="b"/>
        <c:majorTickMark val="none"/>
        <c:minorTickMark val="none"/>
        <c:tickLblPos val="nextTo"/>
        <c:crossAx val="130868283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[new dash.xlsx]Sheet3!PivotTable1</c:name>
    <c:fmtId val="23"/>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Educated</a:t>
            </a:r>
            <a:r>
              <a:rPr lang="en-US" sz="1800" b="1"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Peoples</a:t>
            </a:r>
            <a:endParaRPr lang="en-US"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endParaRPr>
          </a:p>
        </c:rich>
      </c:tx>
      <c:layout>
        <c:manualLayout>
          <c:xMode val="edge"/>
          <c:yMode val="edge"/>
          <c:x val="0.14599178948785252"/>
          <c:y val="2.4931441471826413E-2"/>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tint val="77000"/>
            </a:schemeClr>
          </a:solidFill>
          <a:ln w="19050">
            <a:solidFill>
              <a:schemeClr val="lt1"/>
            </a:solidFill>
          </a:ln>
          <a:effectLst/>
        </c:spPr>
      </c:pivotFmt>
      <c:pivotFmt>
        <c:idx val="2"/>
        <c:spPr>
          <a:solidFill>
            <a:schemeClr val="accent4">
              <a:shade val="76000"/>
            </a:schemeClr>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4">
              <a:tint val="77000"/>
            </a:schemeClr>
          </a:solidFill>
          <a:ln w="19050">
            <a:solidFill>
              <a:schemeClr val="lt1"/>
            </a:solidFill>
          </a:ln>
          <a:effectLst/>
        </c:spPr>
      </c:pivotFmt>
      <c:pivotFmt>
        <c:idx val="5"/>
        <c:spPr>
          <a:solidFill>
            <a:schemeClr val="accent4">
              <a:shade val="76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4">
              <a:tint val="77000"/>
            </a:schemeClr>
          </a:solidFill>
          <a:ln w="19050">
            <a:solidFill>
              <a:schemeClr val="lt1"/>
            </a:solidFill>
          </a:ln>
          <a:effectLst/>
        </c:spPr>
      </c:pivotFmt>
      <c:pivotFmt>
        <c:idx val="8"/>
        <c:spPr>
          <a:solidFill>
            <a:schemeClr val="accent4">
              <a:shade val="76000"/>
            </a:schemeClr>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4">
              <a:tint val="77000"/>
            </a:schemeClr>
          </a:solidFill>
          <a:ln w="19050">
            <a:solidFill>
              <a:schemeClr val="lt1"/>
            </a:solidFill>
          </a:ln>
          <a:effectLst/>
        </c:spPr>
      </c:pivotFmt>
      <c:pivotFmt>
        <c:idx val="11"/>
        <c:spPr>
          <a:solidFill>
            <a:schemeClr val="accent4">
              <a:shade val="76000"/>
            </a:schemeClr>
          </a:solidFill>
          <a:ln w="19050">
            <a:solidFill>
              <a:schemeClr val="lt1"/>
            </a:solidFill>
          </a:ln>
          <a:effectLst/>
        </c:spPr>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4">
              <a:tint val="77000"/>
            </a:schemeClr>
          </a:solidFill>
          <a:ln w="19050">
            <a:solidFill>
              <a:schemeClr val="lt1"/>
            </a:solidFill>
          </a:ln>
          <a:effectLst/>
        </c:spPr>
        <c:dLbl>
          <c:idx val="0"/>
          <c:layout>
            <c:manualLayout>
              <c:x val="-0.18730191720958739"/>
              <c:y val="-0.1333467676729982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4">
              <a:shade val="76000"/>
            </a:schemeClr>
          </a:solidFill>
          <a:ln w="19050">
            <a:solidFill>
              <a:schemeClr val="lt1"/>
            </a:solidFill>
          </a:ln>
          <a:effectLst/>
        </c:spPr>
        <c:dLbl>
          <c:idx val="0"/>
          <c:layout>
            <c:manualLayout>
              <c:x val="0.20136562878878719"/>
              <c:y val="7.656080904578871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908647957466855"/>
          <c:y val="0.2043382965754873"/>
          <c:w val="0.42610309498114762"/>
          <c:h val="0.79566170342451259"/>
        </c:manualLayout>
      </c:layout>
      <c:pieChart>
        <c:varyColors val="1"/>
        <c:ser>
          <c:idx val="0"/>
          <c:order val="0"/>
          <c:tx>
            <c:strRef>
              <c:f>Sheet3!$B$3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6973-47C8-A9B5-5D5E2FDA223A}"/>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6973-47C8-A9B5-5D5E2FDA223A}"/>
              </c:ext>
            </c:extLst>
          </c:dPt>
          <c:dLbls>
            <c:dLbl>
              <c:idx val="0"/>
              <c:layout>
                <c:manualLayout>
                  <c:x val="-0.18730191720958739"/>
                  <c:y val="-0.1333467676729982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73-47C8-A9B5-5D5E2FDA223A}"/>
                </c:ext>
              </c:extLst>
            </c:dLbl>
            <c:dLbl>
              <c:idx val="1"/>
              <c:layout>
                <c:manualLayout>
                  <c:x val="0.20136562878878719"/>
                  <c:y val="7.656080904578871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73-47C8-A9B5-5D5E2FDA223A}"/>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extLst>
          </c:dLbls>
          <c:cat>
            <c:strRef>
              <c:f>Sheet3!$A$4:$A$6</c:f>
              <c:strCache>
                <c:ptCount val="2"/>
                <c:pt idx="0">
                  <c:v>F</c:v>
                </c:pt>
                <c:pt idx="1">
                  <c:v>M</c:v>
                </c:pt>
              </c:strCache>
            </c:strRef>
          </c:cat>
          <c:val>
            <c:numRef>
              <c:f>Sheet3!$B$4:$B$6</c:f>
              <c:numCache>
                <c:formatCode>General</c:formatCode>
                <c:ptCount val="2"/>
                <c:pt idx="0">
                  <c:v>32</c:v>
                </c:pt>
                <c:pt idx="1">
                  <c:v>35</c:v>
                </c:pt>
              </c:numCache>
            </c:numRef>
          </c:val>
          <c:extLst>
            <c:ext xmlns:c16="http://schemas.microsoft.com/office/drawing/2014/chart" uri="{C3380CC4-5D6E-409C-BE32-E72D297353CC}">
              <c16:uniqueId val="{00000004-6973-47C8-A9B5-5D5E2FDA223A}"/>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[new dash.xlsx]Sheet4!PivotTable2</c:name>
    <c:fmtId val="12"/>
  </c:pivotSource>
  <c:chart>
    <c:title>
      <c:tx>
        <c:rich>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8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Income</a:t>
            </a:r>
          </a:p>
        </c:rich>
      </c:tx>
      <c:layout>
        <c:manualLayout>
          <c:xMode val="edge"/>
          <c:yMode val="edge"/>
          <c:x val="0.35414185295803541"/>
          <c:y val="2.6676919291338579E-2"/>
        </c:manualLayout>
      </c:layout>
      <c:overlay val="0"/>
      <c:spPr>
        <a:noFill/>
        <a:ln>
          <a:noFill/>
        </a:ln>
        <a:effectLst/>
      </c:spPr>
      <c:txPr>
        <a:bodyPr rot="0" spcFirstLastPara="1" vertOverflow="ellipsis" vert="horz" wrap="square" anchor="ctr" anchorCtr="1"/>
        <a:lstStyle/>
        <a:p>
          <a:pPr>
            <a:defRPr sz="1800" b="1"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2">
              <a:tint val="77000"/>
            </a:schemeClr>
          </a:solidFill>
          <a:ln w="19050">
            <a:solidFill>
              <a:schemeClr val="lt1"/>
            </a:solidFill>
          </a:ln>
          <a:effectLst/>
        </c:spPr>
        <c:dLbl>
          <c:idx val="0"/>
          <c:layout>
            <c:manualLayout>
              <c:x val="-0.21708268609280984"/>
              <c:y val="-6.32110030244121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2">
              <a:shade val="76000"/>
            </a:schemeClr>
          </a:solidFill>
          <a:ln w="19050">
            <a:solidFill>
              <a:schemeClr val="lt1"/>
            </a:solidFill>
          </a:ln>
          <a:effectLst/>
        </c:spPr>
        <c:dLbl>
          <c:idx val="0"/>
          <c:layout>
            <c:manualLayout>
              <c:x val="0.21668612851964933"/>
              <c:y val="4.115586172087869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tint val="77000"/>
            </a:schemeClr>
          </a:solidFill>
          <a:ln w="19050">
            <a:solidFill>
              <a:schemeClr val="lt1"/>
            </a:solidFill>
          </a:ln>
          <a:effectLst/>
        </c:spPr>
        <c:dLbl>
          <c:idx val="0"/>
          <c:layout>
            <c:manualLayout>
              <c:x val="-0.21708268609280984"/>
              <c:y val="-6.321100302441216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2">
              <a:shade val="76000"/>
            </a:schemeClr>
          </a:solidFill>
          <a:ln w="19050">
            <a:solidFill>
              <a:schemeClr val="lt1"/>
            </a:solidFill>
          </a:ln>
          <a:effectLst/>
        </c:spPr>
        <c:dLbl>
          <c:idx val="0"/>
          <c:layout>
            <c:manualLayout>
              <c:x val="0.21668612851964933"/>
              <c:y val="4.115586172087869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2">
              <a:tint val="77000"/>
            </a:schemeClr>
          </a:solidFill>
          <a:ln w="19050">
            <a:solidFill>
              <a:schemeClr val="lt1"/>
            </a:solidFill>
          </a:ln>
          <a:effectLst/>
        </c:spPr>
        <c:dLbl>
          <c:idx val="0"/>
          <c:layout>
            <c:manualLayout>
              <c:x val="-0.21708268609280984"/>
              <c:y val="-6.32110030244121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2">
              <a:shade val="76000"/>
            </a:schemeClr>
          </a:solidFill>
          <a:ln w="19050">
            <a:solidFill>
              <a:schemeClr val="lt1"/>
            </a:solidFill>
          </a:ln>
          <a:effectLst/>
        </c:spPr>
        <c:dLbl>
          <c:idx val="0"/>
          <c:layout>
            <c:manualLayout>
              <c:x val="0.21668612851964933"/>
              <c:y val="4.115586172087869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7131143089872389"/>
          <c:y val="0.20271173420395622"/>
          <c:w val="0.46404289980993757"/>
          <c:h val="0.78774111772613786"/>
        </c:manualLayout>
      </c:layout>
      <c:pieChart>
        <c:varyColors val="1"/>
        <c:ser>
          <c:idx val="0"/>
          <c:order val="0"/>
          <c:tx>
            <c:strRef>
              <c:f>Sheet4!$B$3</c:f>
              <c:strCache>
                <c:ptCount val="1"/>
                <c:pt idx="0">
                  <c:v>Total</c:v>
                </c:pt>
              </c:strCache>
            </c:strRef>
          </c:tx>
          <c:explosion val="6"/>
          <c:dPt>
            <c:idx val="0"/>
            <c:bubble3D val="0"/>
            <c:explosion val="0"/>
            <c:spPr>
              <a:solidFill>
                <a:schemeClr val="accent2">
                  <a:tint val="77000"/>
                </a:schemeClr>
              </a:solidFill>
              <a:ln w="19050">
                <a:solidFill>
                  <a:schemeClr val="lt1"/>
                </a:solidFill>
              </a:ln>
              <a:effectLst/>
            </c:spPr>
            <c:extLst>
              <c:ext xmlns:c16="http://schemas.microsoft.com/office/drawing/2014/chart" uri="{C3380CC4-5D6E-409C-BE32-E72D297353CC}">
                <c16:uniqueId val="{00000001-4304-4D24-91A5-5FD918E73876}"/>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4304-4D24-91A5-5FD918E73876}"/>
              </c:ext>
            </c:extLst>
          </c:dPt>
          <c:dLbls>
            <c:dLbl>
              <c:idx val="0"/>
              <c:layout>
                <c:manualLayout>
                  <c:x val="-0.21708268609280984"/>
                  <c:y val="-6.321100302441216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304-4D24-91A5-5FD918E73876}"/>
                </c:ext>
              </c:extLst>
            </c:dLbl>
            <c:dLbl>
              <c:idx val="1"/>
              <c:layout>
                <c:manualLayout>
                  <c:x val="0.21668612851964933"/>
                  <c:y val="4.115586172087869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304-4D24-91A5-5FD918E7387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Sheet4!$A$4:$A$6</c:f>
              <c:strCache>
                <c:ptCount val="2"/>
                <c:pt idx="0">
                  <c:v>F</c:v>
                </c:pt>
                <c:pt idx="1">
                  <c:v>M</c:v>
                </c:pt>
              </c:strCache>
            </c:strRef>
          </c:cat>
          <c:val>
            <c:numRef>
              <c:f>Sheet4!$B$4:$B$6</c:f>
              <c:numCache>
                <c:formatCode>"$"#,##0.00</c:formatCode>
                <c:ptCount val="2"/>
                <c:pt idx="0">
                  <c:v>2540000</c:v>
                </c:pt>
                <c:pt idx="1">
                  <c:v>2680000</c:v>
                </c:pt>
              </c:numCache>
            </c:numRef>
          </c:val>
          <c:extLst>
            <c:ext xmlns:c16="http://schemas.microsoft.com/office/drawing/2014/chart" uri="{C3380CC4-5D6E-409C-BE32-E72D297353CC}">
              <c16:uniqueId val="{00000004-4304-4D24-91A5-5FD918E73876}"/>
            </c:ext>
          </c:extLst>
        </c:ser>
        <c:dLbls>
          <c:showLegendKey val="0"/>
          <c:showVal val="1"/>
          <c:showCatName val="0"/>
          <c:showSerName val="0"/>
          <c:showPercent val="0"/>
          <c:showBubbleSize val="0"/>
          <c:showLeaderLines val="0"/>
        </c:dLbls>
        <c:firstSliceAng val="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[new dash.xlsx]Sheet5!PivotTable3</c:name>
    <c:fmtId val="10"/>
  </c:pivotSource>
  <c:chart>
    <c:autoTitleDeleted val="1"/>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010849461574312"/>
          <c:y val="0.1199669272110217"/>
          <c:w val="0.66667770500650025"/>
          <c:h val="0.57876303923548011"/>
        </c:manualLayout>
      </c:layout>
      <c:bar3DChart>
        <c:barDir val="col"/>
        <c:grouping val="standard"/>
        <c:varyColors val="0"/>
        <c:ser>
          <c:idx val="0"/>
          <c:order val="0"/>
          <c:tx>
            <c:strRef>
              <c:f>Sheet5!$B$3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Sheet5!$A$4:$A$10</c:f>
              <c:multiLvlStrCache>
                <c:ptCount val="4"/>
                <c:lvl>
                  <c:pt idx="0">
                    <c:v>F</c:v>
                  </c:pt>
                  <c:pt idx="1">
                    <c:v>M</c:v>
                  </c:pt>
                  <c:pt idx="2">
                    <c:v>F</c:v>
                  </c:pt>
                  <c:pt idx="3">
                    <c:v>M</c:v>
                  </c:pt>
                </c:lvl>
                <c:lvl>
                  <c:pt idx="0">
                    <c:v>M</c:v>
                  </c:pt>
                  <c:pt idx="2">
                    <c:v>S</c:v>
                  </c:pt>
                </c:lvl>
              </c:multiLvlStrCache>
            </c:multiLvlStrRef>
          </c:cat>
          <c:val>
            <c:numRef>
              <c:f>Sheet5!$B$4:$B$10</c:f>
              <c:numCache>
                <c:formatCode>General</c:formatCode>
                <c:ptCount val="4"/>
                <c:pt idx="0">
                  <c:v>8</c:v>
                </c:pt>
                <c:pt idx="1">
                  <c:v>14</c:v>
                </c:pt>
                <c:pt idx="2">
                  <c:v>24</c:v>
                </c:pt>
                <c:pt idx="3">
                  <c:v>21</c:v>
                </c:pt>
              </c:numCache>
            </c:numRef>
          </c:val>
          <c:extLst>
            <c:ext xmlns:c16="http://schemas.microsoft.com/office/drawing/2014/chart" uri="{C3380CC4-5D6E-409C-BE32-E72D297353CC}">
              <c16:uniqueId val="{00000000-BD0D-45BB-A0CC-A51A4C19E3EE}"/>
            </c:ext>
          </c:extLst>
        </c:ser>
        <c:dLbls>
          <c:showLegendKey val="0"/>
          <c:showVal val="1"/>
          <c:showCatName val="0"/>
          <c:showSerName val="0"/>
          <c:showPercent val="0"/>
          <c:showBubbleSize val="0"/>
        </c:dLbls>
        <c:gapWidth val="150"/>
        <c:shape val="box"/>
        <c:axId val="1308682352"/>
        <c:axId val="1308682832"/>
        <c:axId val="1220160352"/>
      </c:bar3DChart>
      <c:catAx>
        <c:axId val="1308682352"/>
        <c:scaling>
          <c:orientation val="minMax"/>
        </c:scaling>
        <c:delete val="0"/>
        <c:axPos val="b"/>
        <c:title>
          <c:tx>
            <c:rich>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200" b="0" cap="none" spc="0">
                    <a:ln w="0"/>
                    <a:solidFill>
                      <a:schemeClr val="tx1"/>
                    </a:solidFill>
                    <a:effectLst>
                      <a:outerShdw blurRad="38100" dist="19050" dir="2700000" algn="tl" rotWithShape="0">
                        <a:schemeClr val="dk1">
                          <a:alpha val="40000"/>
                        </a:schemeClr>
                      </a:outerShdw>
                    </a:effectLst>
                  </a:rPr>
                  <a:t>Marital Status</a:t>
                </a:r>
              </a:p>
            </c:rich>
          </c:tx>
          <c:layout>
            <c:manualLayout>
              <c:xMode val="edge"/>
              <c:yMode val="edge"/>
              <c:x val="0.31315682414698165"/>
              <c:y val="0.88534849810440341"/>
            </c:manualLayout>
          </c:layout>
          <c:overlay val="0"/>
          <c:spPr>
            <a:noFill/>
            <a:ln>
              <a:noFill/>
            </a:ln>
            <a:effectLst/>
          </c:spPr>
          <c:txPr>
            <a:bodyPr rot="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08682832"/>
        <c:crosses val="autoZero"/>
        <c:auto val="1"/>
        <c:lblAlgn val="ctr"/>
        <c:lblOffset val="100"/>
        <c:noMultiLvlLbl val="0"/>
      </c:catAx>
      <c:valAx>
        <c:axId val="1308682832"/>
        <c:scaling>
          <c:orientation val="minMax"/>
        </c:scaling>
        <c:delete val="0"/>
        <c:axPos val="l"/>
        <c:title>
          <c:tx>
            <c:rich>
              <a:bodyPr rot="-54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r>
                  <a:rPr lang="en-US" sz="1200" b="0" cap="none" spc="0">
                    <a:ln w="0"/>
                    <a:solidFill>
                      <a:schemeClr val="tx1"/>
                    </a:solidFill>
                    <a:effectLst>
                      <a:outerShdw blurRad="38100" dist="19050" dir="2700000" algn="tl" rotWithShape="0">
                        <a:schemeClr val="dk1">
                          <a:alpha val="40000"/>
                        </a:schemeClr>
                      </a:outerShdw>
                    </a:effectLst>
                  </a:rPr>
                  <a:t>Count Of Purchased Bike</a:t>
                </a:r>
              </a:p>
            </c:rich>
          </c:tx>
          <c:layout>
            <c:manualLayout>
              <c:xMode val="edge"/>
              <c:yMode val="edge"/>
              <c:x val="0.15157843411866007"/>
              <c:y val="0.24740260408625392"/>
            </c:manualLayout>
          </c:layout>
          <c:overlay val="0"/>
          <c:spPr>
            <a:noFill/>
            <a:ln>
              <a:noFill/>
            </a:ln>
            <a:effectLst/>
          </c:spPr>
          <c:txPr>
            <a:bodyPr rot="-54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308682352"/>
        <c:crosses val="autoZero"/>
        <c:crossBetween val="between"/>
      </c:valAx>
      <c:serAx>
        <c:axId val="1220160352"/>
        <c:scaling>
          <c:orientation val="minMax"/>
        </c:scaling>
        <c:delete val="1"/>
        <c:axPos val="b"/>
        <c:majorTickMark val="none"/>
        <c:minorTickMark val="none"/>
        <c:tickLblPos val="nextTo"/>
        <c:crossAx val="1308682832"/>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hyperlink" Target="https://www.msn.com/en-in/news/world/breaking-news-unexplained-blasts-rock-six-iranian-cities-as-us-israel-deny-role-tensions-escalate/vi-AA1VpBZ4" TargetMode="External"/><Relationship Id="rId3" Type="http://schemas.openxmlformats.org/officeDocument/2006/relationships/image" Target="../media/image3.png"/><Relationship Id="rId7"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xdr:from>
      <xdr:col>3</xdr:col>
      <xdr:colOff>419100</xdr:colOff>
      <xdr:row>3</xdr:row>
      <xdr:rowOff>90487</xdr:rowOff>
    </xdr:from>
    <xdr:to>
      <xdr:col>8</xdr:col>
      <xdr:colOff>419100</xdr:colOff>
      <xdr:row>15</xdr:row>
      <xdr:rowOff>161925</xdr:rowOff>
    </xdr:to>
    <xdr:graphicFrame macro="">
      <xdr:nvGraphicFramePr>
        <xdr:cNvPr id="2" name="Chart 1">
          <a:extLst>
            <a:ext uri="{FF2B5EF4-FFF2-40B4-BE49-F238E27FC236}">
              <a16:creationId xmlns:a16="http://schemas.microsoft.com/office/drawing/2014/main" id="{9055305C-2A18-52E2-5BA3-90DFE13D1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533400</xdr:colOff>
      <xdr:row>8</xdr:row>
      <xdr:rowOff>171450</xdr:rowOff>
    </xdr:from>
    <xdr:to>
      <xdr:col>14</xdr:col>
      <xdr:colOff>533400</xdr:colOff>
      <xdr:row>18</xdr:row>
      <xdr:rowOff>104775</xdr:rowOff>
    </xdr:to>
    <mc:AlternateContent xmlns:mc="http://schemas.openxmlformats.org/markup-compatibility/2006" xmlns:a14="http://schemas.microsoft.com/office/drawing/2010/main">
      <mc:Choice Requires="a14">
        <xdr:graphicFrame macro="">
          <xdr:nvGraphicFramePr>
            <xdr:cNvPr id="3" name="Occupation">
              <a:extLst>
                <a:ext uri="{FF2B5EF4-FFF2-40B4-BE49-F238E27FC236}">
                  <a16:creationId xmlns:a16="http://schemas.microsoft.com/office/drawing/2014/main" id="{0B2EE16A-3C22-A26F-28C6-462A47A90FB9}"/>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096250" y="1695450"/>
              <a:ext cx="1828800" cy="1838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323850</xdr:colOff>
      <xdr:row>2</xdr:row>
      <xdr:rowOff>171451</xdr:rowOff>
    </xdr:from>
    <xdr:to>
      <xdr:col>14</xdr:col>
      <xdr:colOff>323850</xdr:colOff>
      <xdr:row>9</xdr:row>
      <xdr:rowOff>19051</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C977F36-C1A5-2501-EF26-02657D8EEC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86700" y="552451"/>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323850</xdr:colOff>
      <xdr:row>3</xdr:row>
      <xdr:rowOff>66676</xdr:rowOff>
    </xdr:from>
    <xdr:to>
      <xdr:col>10</xdr:col>
      <xdr:colOff>361950</xdr:colOff>
      <xdr:row>15</xdr:row>
      <xdr:rowOff>161926</xdr:rowOff>
    </xdr:to>
    <xdr:graphicFrame macro="">
      <xdr:nvGraphicFramePr>
        <xdr:cNvPr id="2" name="Chart 1">
          <a:extLst>
            <a:ext uri="{FF2B5EF4-FFF2-40B4-BE49-F238E27FC236}">
              <a16:creationId xmlns:a16="http://schemas.microsoft.com/office/drawing/2014/main" id="{0E62FEDE-DDD1-39AE-CBA1-7155ED32A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542924</xdr:colOff>
      <xdr:row>10</xdr:row>
      <xdr:rowOff>47625</xdr:rowOff>
    </xdr:from>
    <xdr:to>
      <xdr:col>7</xdr:col>
      <xdr:colOff>9525</xdr:colOff>
      <xdr:row>21</xdr:row>
      <xdr:rowOff>52387</xdr:rowOff>
    </xdr:to>
    <xdr:graphicFrame macro="">
      <xdr:nvGraphicFramePr>
        <xdr:cNvPr id="7" name="Chart 6">
          <a:extLst>
            <a:ext uri="{FF2B5EF4-FFF2-40B4-BE49-F238E27FC236}">
              <a16:creationId xmlns:a16="http://schemas.microsoft.com/office/drawing/2014/main" id="{9B1A4048-A034-3AC2-5AE9-9E702BD61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0.53646</cdr:x>
      <cdr:y>0.89757</cdr:y>
    </cdr:from>
    <cdr:to>
      <cdr:x>0.68021</cdr:x>
      <cdr:y>0.94271</cdr:y>
    </cdr:to>
    <cdr:sp macro="" textlink="">
      <cdr:nvSpPr>
        <cdr:cNvPr id="2" name="Arrow: Right 1">
          <a:extLst xmlns:a="http://schemas.openxmlformats.org/drawingml/2006/main">
            <a:ext uri="{FF2B5EF4-FFF2-40B4-BE49-F238E27FC236}">
              <a16:creationId xmlns:a16="http://schemas.microsoft.com/office/drawing/2014/main" id="{B4AF09B2-990D-4CB4-5854-053353472031}"/>
            </a:ext>
          </a:extLst>
        </cdr:cNvPr>
        <cdr:cNvSpPr/>
      </cdr:nvSpPr>
      <cdr:spPr>
        <a:xfrm xmlns:a="http://schemas.openxmlformats.org/drawingml/2006/main">
          <a:off x="2452688" y="2462213"/>
          <a:ext cx="657225" cy="123825"/>
        </a:xfrm>
        <a:prstGeom xmlns:a="http://schemas.openxmlformats.org/drawingml/2006/main" prs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0.12239</cdr:x>
      <cdr:y>0.09896</cdr:y>
    </cdr:from>
    <cdr:to>
      <cdr:x>0.14739</cdr:x>
      <cdr:y>0.23438</cdr:y>
    </cdr:to>
    <cdr:sp macro="" textlink="">
      <cdr:nvSpPr>
        <cdr:cNvPr id="4" name="Arrow: Up 3">
          <a:extLst xmlns:a="http://schemas.openxmlformats.org/drawingml/2006/main">
            <a:ext uri="{FF2B5EF4-FFF2-40B4-BE49-F238E27FC236}">
              <a16:creationId xmlns:a16="http://schemas.microsoft.com/office/drawing/2014/main" id="{395E85F6-8175-1A61-18ED-73C98D60458A}"/>
            </a:ext>
          </a:extLst>
        </cdr:cNvPr>
        <cdr:cNvSpPr/>
      </cdr:nvSpPr>
      <cdr:spPr>
        <a:xfrm xmlns:a="http://schemas.openxmlformats.org/drawingml/2006/main">
          <a:off x="512371" y="271463"/>
          <a:ext cx="104656" cy="371475"/>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0</xdr:rowOff>
    </xdr:from>
    <xdr:to>
      <xdr:col>2</xdr:col>
      <xdr:colOff>425727</xdr:colOff>
      <xdr:row>3</xdr:row>
      <xdr:rowOff>152400</xdr:rowOff>
    </xdr:to>
    <xdr:pic>
      <xdr:nvPicPr>
        <xdr:cNvPr id="2" name="Picture 1">
          <a:extLst>
            <a:ext uri="{FF2B5EF4-FFF2-40B4-BE49-F238E27FC236}">
              <a16:creationId xmlns:a16="http://schemas.microsoft.com/office/drawing/2014/main" id="{EDC62113-D261-46E9-92E0-7119086FFB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0"/>
          <a:ext cx="1587777" cy="72390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0</xdr:colOff>
      <xdr:row>4</xdr:row>
      <xdr:rowOff>133349</xdr:rowOff>
    </xdr:from>
    <xdr:to>
      <xdr:col>4</xdr:col>
      <xdr:colOff>504824</xdr:colOff>
      <xdr:row>11</xdr:row>
      <xdr:rowOff>123824</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67FB2A32-9B1D-404A-A451-28299000FCC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895349"/>
              <a:ext cx="2943224"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57150</xdr:rowOff>
    </xdr:from>
    <xdr:to>
      <xdr:col>4</xdr:col>
      <xdr:colOff>457200</xdr:colOff>
      <xdr:row>21</xdr:row>
      <xdr:rowOff>152400</xdr:rowOff>
    </xdr:to>
    <mc:AlternateContent xmlns:mc="http://schemas.openxmlformats.org/markup-compatibility/2006" xmlns:a14="http://schemas.microsoft.com/office/drawing/2010/main">
      <mc:Choice Requires="a14">
        <xdr:graphicFrame macro="">
          <xdr:nvGraphicFramePr>
            <xdr:cNvPr id="8" name="Occupation 1">
              <a:extLst>
                <a:ext uri="{FF2B5EF4-FFF2-40B4-BE49-F238E27FC236}">
                  <a16:creationId xmlns:a16="http://schemas.microsoft.com/office/drawing/2014/main" id="{E7839138-7A78-4BA5-A405-461AB4C9D9DB}"/>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0" y="2390775"/>
              <a:ext cx="2895600"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38100</xdr:colOff>
      <xdr:row>4</xdr:row>
      <xdr:rowOff>114301</xdr:rowOff>
    </xdr:from>
    <xdr:to>
      <xdr:col>12</xdr:col>
      <xdr:colOff>533399</xdr:colOff>
      <xdr:row>8</xdr:row>
      <xdr:rowOff>76201</xdr:rowOff>
    </xdr:to>
    <xdr:sp macro="" textlink="">
      <xdr:nvSpPr>
        <xdr:cNvPr id="3" name="Speech Bubble: Oval 2">
          <a:extLst>
            <a:ext uri="{FF2B5EF4-FFF2-40B4-BE49-F238E27FC236}">
              <a16:creationId xmlns:a16="http://schemas.microsoft.com/office/drawing/2014/main" id="{CB7E141C-A1A8-7891-F56E-0DDDCB405013}"/>
            </a:ext>
          </a:extLst>
        </xdr:cNvPr>
        <xdr:cNvSpPr/>
      </xdr:nvSpPr>
      <xdr:spPr>
        <a:xfrm>
          <a:off x="4914900" y="876301"/>
          <a:ext cx="2933699" cy="723900"/>
        </a:xfrm>
        <a:prstGeom prst="wedgeEllipseCallou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47625</xdr:colOff>
      <xdr:row>4</xdr:row>
      <xdr:rowOff>66676</xdr:rowOff>
    </xdr:from>
    <xdr:to>
      <xdr:col>17</xdr:col>
      <xdr:colOff>590550</xdr:colOff>
      <xdr:row>7</xdr:row>
      <xdr:rowOff>161926</xdr:rowOff>
    </xdr:to>
    <xdr:sp macro="" textlink="">
      <xdr:nvSpPr>
        <xdr:cNvPr id="4" name="Speech Bubble: Oval 3">
          <a:extLst>
            <a:ext uri="{FF2B5EF4-FFF2-40B4-BE49-F238E27FC236}">
              <a16:creationId xmlns:a16="http://schemas.microsoft.com/office/drawing/2014/main" id="{DDA036A2-2F70-092A-6177-617A57588914}"/>
            </a:ext>
          </a:extLst>
        </xdr:cNvPr>
        <xdr:cNvSpPr/>
      </xdr:nvSpPr>
      <xdr:spPr>
        <a:xfrm>
          <a:off x="7972425" y="828676"/>
          <a:ext cx="2981325" cy="666750"/>
        </a:xfrm>
        <a:prstGeom prst="wedgeEllipseCallou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161925</xdr:colOff>
      <xdr:row>4</xdr:row>
      <xdr:rowOff>38102</xdr:rowOff>
    </xdr:from>
    <xdr:to>
      <xdr:col>22</xdr:col>
      <xdr:colOff>571500</xdr:colOff>
      <xdr:row>8</xdr:row>
      <xdr:rowOff>9525</xdr:rowOff>
    </xdr:to>
    <xdr:sp macro="" textlink="">
      <xdr:nvSpPr>
        <xdr:cNvPr id="5" name="Speech Bubble: Oval 4">
          <a:extLst>
            <a:ext uri="{FF2B5EF4-FFF2-40B4-BE49-F238E27FC236}">
              <a16:creationId xmlns:a16="http://schemas.microsoft.com/office/drawing/2014/main" id="{6817B29D-C595-9E68-9AF5-64EDA98A9E64}"/>
            </a:ext>
          </a:extLst>
        </xdr:cNvPr>
        <xdr:cNvSpPr/>
      </xdr:nvSpPr>
      <xdr:spPr>
        <a:xfrm>
          <a:off x="11134725" y="800102"/>
          <a:ext cx="2847975" cy="733423"/>
        </a:xfrm>
        <a:prstGeom prst="wedgeEllipseCallou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247650</xdr:colOff>
      <xdr:row>5</xdr:row>
      <xdr:rowOff>0</xdr:rowOff>
    </xdr:from>
    <xdr:to>
      <xdr:col>11</xdr:col>
      <xdr:colOff>447675</xdr:colOff>
      <xdr:row>6</xdr:row>
      <xdr:rowOff>171450</xdr:rowOff>
    </xdr:to>
    <xdr:sp macro="" textlink="">
      <xdr:nvSpPr>
        <xdr:cNvPr id="6" name="TextBox 5">
          <a:extLst>
            <a:ext uri="{FF2B5EF4-FFF2-40B4-BE49-F238E27FC236}">
              <a16:creationId xmlns:a16="http://schemas.microsoft.com/office/drawing/2014/main" id="{65062B66-9C70-BB95-F1C0-CE641AC33C6C}"/>
            </a:ext>
          </a:extLst>
        </xdr:cNvPr>
        <xdr:cNvSpPr txBox="1"/>
      </xdr:nvSpPr>
      <xdr:spPr>
        <a:xfrm>
          <a:off x="5734050" y="952500"/>
          <a:ext cx="14192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Income</a:t>
          </a:r>
        </a:p>
      </xdr:txBody>
    </xdr:sp>
    <xdr:clientData/>
  </xdr:twoCellAnchor>
  <xdr:twoCellAnchor>
    <xdr:from>
      <xdr:col>9</xdr:col>
      <xdr:colOff>47625</xdr:colOff>
      <xdr:row>6</xdr:row>
      <xdr:rowOff>47626</xdr:rowOff>
    </xdr:from>
    <xdr:to>
      <xdr:col>11</xdr:col>
      <xdr:colOff>266700</xdr:colOff>
      <xdr:row>8</xdr:row>
      <xdr:rowOff>28576</xdr:rowOff>
    </xdr:to>
    <xdr:sp macro="" textlink="Sheet4!B8">
      <xdr:nvSpPr>
        <xdr:cNvPr id="9" name="TextBox 8">
          <a:extLst>
            <a:ext uri="{FF2B5EF4-FFF2-40B4-BE49-F238E27FC236}">
              <a16:creationId xmlns:a16="http://schemas.microsoft.com/office/drawing/2014/main" id="{843DB3E6-19EE-40FB-46EF-146541221D2A}"/>
            </a:ext>
          </a:extLst>
        </xdr:cNvPr>
        <xdr:cNvSpPr txBox="1"/>
      </xdr:nvSpPr>
      <xdr:spPr>
        <a:xfrm>
          <a:off x="5534025" y="1190626"/>
          <a:ext cx="14382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2D22C3-A42B-4AF5-940A-4ED0539EA397}" type="TxLink">
            <a:rPr lang="en-US" sz="1600" b="0" i="0" u="none" strike="noStrike">
              <a:solidFill>
                <a:srgbClr val="000000"/>
              </a:solidFill>
              <a:latin typeface="Calibri"/>
              <a:ea typeface="Calibri"/>
              <a:cs typeface="Calibri"/>
            </a:rPr>
            <a:pPr algn="ctr"/>
            <a:t>5220000</a:t>
          </a:fld>
          <a:endParaRPr lang="en-US" sz="1600"/>
        </a:p>
      </xdr:txBody>
    </xdr:sp>
    <xdr:clientData/>
  </xdr:twoCellAnchor>
  <xdr:twoCellAnchor>
    <xdr:from>
      <xdr:col>13</xdr:col>
      <xdr:colOff>600076</xdr:colOff>
      <xdr:row>4</xdr:row>
      <xdr:rowOff>171450</xdr:rowOff>
    </xdr:from>
    <xdr:to>
      <xdr:col>17</xdr:col>
      <xdr:colOff>238126</xdr:colOff>
      <xdr:row>6</xdr:row>
      <xdr:rowOff>142875</xdr:rowOff>
    </xdr:to>
    <xdr:sp macro="" textlink="">
      <xdr:nvSpPr>
        <xdr:cNvPr id="10" name="TextBox 9">
          <a:extLst>
            <a:ext uri="{FF2B5EF4-FFF2-40B4-BE49-F238E27FC236}">
              <a16:creationId xmlns:a16="http://schemas.microsoft.com/office/drawing/2014/main" id="{279192BF-A74C-9F46-7706-E0991CCA69DD}"/>
            </a:ext>
          </a:extLst>
        </xdr:cNvPr>
        <xdr:cNvSpPr txBox="1"/>
      </xdr:nvSpPr>
      <xdr:spPr>
        <a:xfrm>
          <a:off x="8524876" y="933450"/>
          <a:ext cx="20764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of Purchase Bikes</a:t>
          </a:r>
        </a:p>
      </xdr:txBody>
    </xdr:sp>
    <xdr:clientData/>
  </xdr:twoCellAnchor>
  <xdr:twoCellAnchor>
    <xdr:from>
      <xdr:col>13</xdr:col>
      <xdr:colOff>590550</xdr:colOff>
      <xdr:row>6</xdr:row>
      <xdr:rowOff>104775</xdr:rowOff>
    </xdr:from>
    <xdr:to>
      <xdr:col>16</xdr:col>
      <xdr:colOff>209550</xdr:colOff>
      <xdr:row>7</xdr:row>
      <xdr:rowOff>171450</xdr:rowOff>
    </xdr:to>
    <xdr:sp macro="" textlink="Sheet5!B12">
      <xdr:nvSpPr>
        <xdr:cNvPr id="11" name="TextBox 10">
          <a:extLst>
            <a:ext uri="{FF2B5EF4-FFF2-40B4-BE49-F238E27FC236}">
              <a16:creationId xmlns:a16="http://schemas.microsoft.com/office/drawing/2014/main" id="{5B684D7C-492D-C240-A482-0E58CBDB44FF}"/>
            </a:ext>
          </a:extLst>
        </xdr:cNvPr>
        <xdr:cNvSpPr txBox="1"/>
      </xdr:nvSpPr>
      <xdr:spPr>
        <a:xfrm>
          <a:off x="8515350" y="1247775"/>
          <a:ext cx="1447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07B384-DAA0-4A3E-BD1A-E4413469DDF4}" type="TxLink">
            <a:rPr lang="en-US" sz="1600" b="0" i="0" u="none" strike="noStrike">
              <a:solidFill>
                <a:srgbClr val="000000"/>
              </a:solidFill>
              <a:latin typeface="Calibri"/>
              <a:ea typeface="Calibri"/>
              <a:cs typeface="Calibri"/>
            </a:rPr>
            <a:pPr algn="ctr"/>
            <a:t>67</a:t>
          </a:fld>
          <a:endParaRPr lang="en-US" sz="1600"/>
        </a:p>
      </xdr:txBody>
    </xdr:sp>
    <xdr:clientData/>
  </xdr:twoCellAnchor>
  <xdr:twoCellAnchor>
    <xdr:from>
      <xdr:col>18</xdr:col>
      <xdr:colOff>238125</xdr:colOff>
      <xdr:row>4</xdr:row>
      <xdr:rowOff>142874</xdr:rowOff>
    </xdr:from>
    <xdr:to>
      <xdr:col>22</xdr:col>
      <xdr:colOff>571500</xdr:colOff>
      <xdr:row>6</xdr:row>
      <xdr:rowOff>85725</xdr:rowOff>
    </xdr:to>
    <xdr:sp macro="" textlink="">
      <xdr:nvSpPr>
        <xdr:cNvPr id="12" name="TextBox 11">
          <a:extLst>
            <a:ext uri="{FF2B5EF4-FFF2-40B4-BE49-F238E27FC236}">
              <a16:creationId xmlns:a16="http://schemas.microsoft.com/office/drawing/2014/main" id="{40C78BD1-A0A1-0D10-3821-BF000DFE460F}"/>
            </a:ext>
          </a:extLst>
        </xdr:cNvPr>
        <xdr:cNvSpPr txBox="1"/>
      </xdr:nvSpPr>
      <xdr:spPr>
        <a:xfrm>
          <a:off x="11210925" y="904874"/>
          <a:ext cx="2771775"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cap="none" spc="0">
              <a:ln w="0"/>
              <a:solidFill>
                <a:schemeClr val="tx1"/>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Educated Peoples</a:t>
          </a:r>
        </a:p>
      </xdr:txBody>
    </xdr:sp>
    <xdr:clientData/>
  </xdr:twoCellAnchor>
  <xdr:twoCellAnchor>
    <xdr:from>
      <xdr:col>19</xdr:col>
      <xdr:colOff>247650</xdr:colOff>
      <xdr:row>6</xdr:row>
      <xdr:rowOff>76200</xdr:rowOff>
    </xdr:from>
    <xdr:to>
      <xdr:col>21</xdr:col>
      <xdr:colOff>190500</xdr:colOff>
      <xdr:row>7</xdr:row>
      <xdr:rowOff>180975</xdr:rowOff>
    </xdr:to>
    <xdr:sp macro="" textlink="Sheet3!B8">
      <xdr:nvSpPr>
        <xdr:cNvPr id="13" name="TextBox 12">
          <a:extLst>
            <a:ext uri="{FF2B5EF4-FFF2-40B4-BE49-F238E27FC236}">
              <a16:creationId xmlns:a16="http://schemas.microsoft.com/office/drawing/2014/main" id="{C53D3B34-9A9D-6AD9-DD10-750DEB0D25CD}"/>
            </a:ext>
          </a:extLst>
        </xdr:cNvPr>
        <xdr:cNvSpPr txBox="1"/>
      </xdr:nvSpPr>
      <xdr:spPr>
        <a:xfrm>
          <a:off x="11830050" y="1219200"/>
          <a:ext cx="11620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68F39E-AF82-4A90-BDED-9CA9DF8C8D1D}" type="TxLink">
            <a:rPr lang="en-US" sz="1400" b="0" i="0" u="none" strike="noStrike">
              <a:solidFill>
                <a:srgbClr val="000000"/>
              </a:solidFill>
              <a:latin typeface="Calibri"/>
              <a:ea typeface="Calibri"/>
              <a:cs typeface="Calibri"/>
            </a:rPr>
            <a:pPr algn="ctr"/>
            <a:t>67</a:t>
          </a:fld>
          <a:endParaRPr lang="en-US" sz="1400"/>
        </a:p>
      </xdr:txBody>
    </xdr:sp>
    <xdr:clientData/>
  </xdr:twoCellAnchor>
  <xdr:twoCellAnchor>
    <xdr:from>
      <xdr:col>4</xdr:col>
      <xdr:colOff>533401</xdr:colOff>
      <xdr:row>8</xdr:row>
      <xdr:rowOff>114299</xdr:rowOff>
    </xdr:from>
    <xdr:to>
      <xdr:col>10</xdr:col>
      <xdr:colOff>590551</xdr:colOff>
      <xdr:row>20</xdr:row>
      <xdr:rowOff>85724</xdr:rowOff>
    </xdr:to>
    <xdr:graphicFrame macro="">
      <xdr:nvGraphicFramePr>
        <xdr:cNvPr id="14" name="Chart 13">
          <a:extLst>
            <a:ext uri="{FF2B5EF4-FFF2-40B4-BE49-F238E27FC236}">
              <a16:creationId xmlns:a16="http://schemas.microsoft.com/office/drawing/2014/main" id="{CD3A4055-CF44-4736-9A4A-34B15C85A9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600075</xdr:colOff>
      <xdr:row>8</xdr:row>
      <xdr:rowOff>38100</xdr:rowOff>
    </xdr:from>
    <xdr:to>
      <xdr:col>15</xdr:col>
      <xdr:colOff>257175</xdr:colOff>
      <xdr:row>17</xdr:row>
      <xdr:rowOff>38100</xdr:rowOff>
    </xdr:to>
    <xdr:graphicFrame macro="">
      <xdr:nvGraphicFramePr>
        <xdr:cNvPr id="15" name="Chart 14">
          <a:extLst>
            <a:ext uri="{FF2B5EF4-FFF2-40B4-BE49-F238E27FC236}">
              <a16:creationId xmlns:a16="http://schemas.microsoft.com/office/drawing/2014/main" id="{8C1A0A1E-9528-4DEF-9545-77B6A0AAF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95250</xdr:colOff>
      <xdr:row>7</xdr:row>
      <xdr:rowOff>9525</xdr:rowOff>
    </xdr:from>
    <xdr:to>
      <xdr:col>22</xdr:col>
      <xdr:colOff>542926</xdr:colOff>
      <xdr:row>16</xdr:row>
      <xdr:rowOff>38100</xdr:rowOff>
    </xdr:to>
    <xdr:graphicFrame macro="">
      <xdr:nvGraphicFramePr>
        <xdr:cNvPr id="16" name="Chart 15">
          <a:extLst>
            <a:ext uri="{FF2B5EF4-FFF2-40B4-BE49-F238E27FC236}">
              <a16:creationId xmlns:a16="http://schemas.microsoft.com/office/drawing/2014/main" id="{3CDCD503-2C98-41B9-8FBC-FB2651B5B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0.53646</cdr:x>
      <cdr:y>0.89757</cdr:y>
    </cdr:from>
    <cdr:to>
      <cdr:x>0.68021</cdr:x>
      <cdr:y>0.94271</cdr:y>
    </cdr:to>
    <cdr:sp macro="" textlink="">
      <cdr:nvSpPr>
        <cdr:cNvPr id="2" name="Arrow: Right 1">
          <a:extLst xmlns:a="http://schemas.openxmlformats.org/drawingml/2006/main">
            <a:ext uri="{FF2B5EF4-FFF2-40B4-BE49-F238E27FC236}">
              <a16:creationId xmlns:a16="http://schemas.microsoft.com/office/drawing/2014/main" id="{B4AF09B2-990D-4CB4-5854-053353472031}"/>
            </a:ext>
          </a:extLst>
        </cdr:cNvPr>
        <cdr:cNvSpPr/>
      </cdr:nvSpPr>
      <cdr:spPr>
        <a:xfrm xmlns:a="http://schemas.openxmlformats.org/drawingml/2006/main">
          <a:off x="2452688" y="2462213"/>
          <a:ext cx="657225" cy="123825"/>
        </a:xfrm>
        <a:prstGeom xmlns:a="http://schemas.openxmlformats.org/drawingml/2006/main" prs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0.16389</cdr:x>
      <cdr:y>0.081</cdr:y>
    </cdr:from>
    <cdr:to>
      <cdr:x>0.18889</cdr:x>
      <cdr:y>0.21642</cdr:y>
    </cdr:to>
    <cdr:sp macro="" textlink="">
      <cdr:nvSpPr>
        <cdr:cNvPr id="4" name="Arrow: Up 3">
          <a:extLst xmlns:a="http://schemas.openxmlformats.org/drawingml/2006/main">
            <a:ext uri="{FF2B5EF4-FFF2-40B4-BE49-F238E27FC236}">
              <a16:creationId xmlns:a16="http://schemas.microsoft.com/office/drawing/2014/main" id="{395E85F6-8175-1A61-18ED-73C98D60458A}"/>
            </a:ext>
          </a:extLst>
        </cdr:cNvPr>
        <cdr:cNvSpPr/>
      </cdr:nvSpPr>
      <cdr:spPr>
        <a:xfrm xmlns:a="http://schemas.openxmlformats.org/drawingml/2006/main">
          <a:off x="789902" y="196747"/>
          <a:ext cx="120491" cy="328918"/>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7.xml><?xml version="1.0" encoding="utf-8"?>
<xdr:wsDr xmlns:xdr="http://schemas.openxmlformats.org/drawingml/2006/spreadsheetDrawing" xmlns:a="http://schemas.openxmlformats.org/drawingml/2006/main">
  <xdr:twoCellAnchor editAs="oneCell">
    <xdr:from>
      <xdr:col>0</xdr:col>
      <xdr:colOff>28575</xdr:colOff>
      <xdr:row>0</xdr:row>
      <xdr:rowOff>19050</xdr:rowOff>
    </xdr:from>
    <xdr:to>
      <xdr:col>2</xdr:col>
      <xdr:colOff>397152</xdr:colOff>
      <xdr:row>3</xdr:row>
      <xdr:rowOff>171450</xdr:rowOff>
    </xdr:to>
    <xdr:pic>
      <xdr:nvPicPr>
        <xdr:cNvPr id="2" name="Picture 1">
          <a:extLst>
            <a:ext uri="{FF2B5EF4-FFF2-40B4-BE49-F238E27FC236}">
              <a16:creationId xmlns:a16="http://schemas.microsoft.com/office/drawing/2014/main" id="{33541773-F973-4C9C-B90B-C7E50D1755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8575" y="19050"/>
          <a:ext cx="1587777" cy="72390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0</xdr:col>
      <xdr:colOff>0</xdr:colOff>
      <xdr:row>4</xdr:row>
      <xdr:rowOff>161926</xdr:rowOff>
    </xdr:from>
    <xdr:to>
      <xdr:col>4</xdr:col>
      <xdr:colOff>466725</xdr:colOff>
      <xdr:row>10</xdr:row>
      <xdr:rowOff>133350</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1952C249-4029-45CB-90A5-CB52BB99AA6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0" y="923926"/>
              <a:ext cx="2905125"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57150</xdr:rowOff>
    </xdr:from>
    <xdr:to>
      <xdr:col>4</xdr:col>
      <xdr:colOff>466724</xdr:colOff>
      <xdr:row>21</xdr:row>
      <xdr:rowOff>133350</xdr:rowOff>
    </xdr:to>
    <mc:AlternateContent xmlns:mc="http://schemas.openxmlformats.org/markup-compatibility/2006" xmlns:a14="http://schemas.microsoft.com/office/drawing/2010/main">
      <mc:Choice Requires="a14">
        <xdr:graphicFrame macro="">
          <xdr:nvGraphicFramePr>
            <xdr:cNvPr id="5" name="Occupation 2">
              <a:extLst>
                <a:ext uri="{FF2B5EF4-FFF2-40B4-BE49-F238E27FC236}">
                  <a16:creationId xmlns:a16="http://schemas.microsoft.com/office/drawing/2014/main" id="{C02CCABD-053D-4F24-A55D-7731F92FEEFC}"/>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0" y="2152650"/>
              <a:ext cx="2905124"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152400</xdr:colOff>
      <xdr:row>4</xdr:row>
      <xdr:rowOff>104775</xdr:rowOff>
    </xdr:from>
    <xdr:to>
      <xdr:col>10</xdr:col>
      <xdr:colOff>38099</xdr:colOff>
      <xdr:row>8</xdr:row>
      <xdr:rowOff>66675</xdr:rowOff>
    </xdr:to>
    <xdr:sp macro="" textlink="">
      <xdr:nvSpPr>
        <xdr:cNvPr id="6" name="Speech Bubble: Oval 5">
          <a:extLst>
            <a:ext uri="{FF2B5EF4-FFF2-40B4-BE49-F238E27FC236}">
              <a16:creationId xmlns:a16="http://schemas.microsoft.com/office/drawing/2014/main" id="{A9532073-F1B8-4DFC-BE50-027EC0274CE2}"/>
            </a:ext>
          </a:extLst>
        </xdr:cNvPr>
        <xdr:cNvSpPr/>
      </xdr:nvSpPr>
      <xdr:spPr>
        <a:xfrm>
          <a:off x="3200400" y="866775"/>
          <a:ext cx="2933699" cy="723900"/>
        </a:xfrm>
        <a:prstGeom prst="wedgeEllipseCallou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57150</xdr:colOff>
      <xdr:row>5</xdr:row>
      <xdr:rowOff>180975</xdr:rowOff>
    </xdr:from>
    <xdr:to>
      <xdr:col>8</xdr:col>
      <xdr:colOff>276225</xdr:colOff>
      <xdr:row>7</xdr:row>
      <xdr:rowOff>161925</xdr:rowOff>
    </xdr:to>
    <xdr:sp macro="" textlink="Sheet4!B8">
      <xdr:nvSpPr>
        <xdr:cNvPr id="8" name="TextBox 7">
          <a:extLst>
            <a:ext uri="{FF2B5EF4-FFF2-40B4-BE49-F238E27FC236}">
              <a16:creationId xmlns:a16="http://schemas.microsoft.com/office/drawing/2014/main" id="{6115841A-4688-487A-96A3-3B1F23978636}"/>
            </a:ext>
          </a:extLst>
        </xdr:cNvPr>
        <xdr:cNvSpPr txBox="1"/>
      </xdr:nvSpPr>
      <xdr:spPr>
        <a:xfrm>
          <a:off x="3714750" y="1133475"/>
          <a:ext cx="143827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2D22C3-A42B-4AF5-940A-4ED0539EA397}" type="TxLink">
            <a:rPr lang="en-US" sz="16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5220000</a:t>
          </a:fld>
          <a:endParaRPr lang="en-US"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6</xdr:col>
      <xdr:colOff>161925</xdr:colOff>
      <xdr:row>4</xdr:row>
      <xdr:rowOff>104775</xdr:rowOff>
    </xdr:from>
    <xdr:to>
      <xdr:col>8</xdr:col>
      <xdr:colOff>351023</xdr:colOff>
      <xdr:row>6</xdr:row>
      <xdr:rowOff>150532</xdr:rowOff>
    </xdr:to>
    <xdr:pic>
      <xdr:nvPicPr>
        <xdr:cNvPr id="9" name="Picture 8">
          <a:extLst>
            <a:ext uri="{FF2B5EF4-FFF2-40B4-BE49-F238E27FC236}">
              <a16:creationId xmlns:a16="http://schemas.microsoft.com/office/drawing/2014/main" id="{C3886ADF-C0BE-4EB3-FC61-465BD4F9EC8F}"/>
            </a:ext>
          </a:extLst>
        </xdr:cNvPr>
        <xdr:cNvPicPr>
          <a:picLocks noChangeAspect="1"/>
        </xdr:cNvPicPr>
      </xdr:nvPicPr>
      <xdr:blipFill>
        <a:blip xmlns:r="http://schemas.openxmlformats.org/officeDocument/2006/relationships" r:embed="rId2"/>
        <a:stretch>
          <a:fillRect/>
        </a:stretch>
      </xdr:blipFill>
      <xdr:spPr>
        <a:xfrm>
          <a:off x="3819525" y="866775"/>
          <a:ext cx="1408298" cy="426757"/>
        </a:xfrm>
        <a:prstGeom prst="rect">
          <a:avLst/>
        </a:prstGeom>
      </xdr:spPr>
    </xdr:pic>
    <xdr:clientData/>
  </xdr:twoCellAnchor>
  <xdr:twoCellAnchor>
    <xdr:from>
      <xdr:col>10</xdr:col>
      <xdr:colOff>266700</xdr:colOff>
      <xdr:row>4</xdr:row>
      <xdr:rowOff>123825</xdr:rowOff>
    </xdr:from>
    <xdr:to>
      <xdr:col>15</xdr:col>
      <xdr:colOff>200025</xdr:colOff>
      <xdr:row>8</xdr:row>
      <xdr:rowOff>28575</xdr:rowOff>
    </xdr:to>
    <xdr:sp macro="" textlink="">
      <xdr:nvSpPr>
        <xdr:cNvPr id="10" name="Speech Bubble: Oval 9">
          <a:extLst>
            <a:ext uri="{FF2B5EF4-FFF2-40B4-BE49-F238E27FC236}">
              <a16:creationId xmlns:a16="http://schemas.microsoft.com/office/drawing/2014/main" id="{94B32CF9-7586-41EA-A158-7219436B437F}"/>
            </a:ext>
          </a:extLst>
        </xdr:cNvPr>
        <xdr:cNvSpPr/>
      </xdr:nvSpPr>
      <xdr:spPr>
        <a:xfrm>
          <a:off x="6362700" y="885825"/>
          <a:ext cx="2981325" cy="666750"/>
        </a:xfrm>
        <a:prstGeom prst="wedgeEllipseCallou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11</xdr:col>
      <xdr:colOff>95250</xdr:colOff>
      <xdr:row>4</xdr:row>
      <xdr:rowOff>152400</xdr:rowOff>
    </xdr:from>
    <xdr:to>
      <xdr:col>14</xdr:col>
      <xdr:colOff>296594</xdr:colOff>
      <xdr:row>6</xdr:row>
      <xdr:rowOff>155481</xdr:rowOff>
    </xdr:to>
    <xdr:pic>
      <xdr:nvPicPr>
        <xdr:cNvPr id="12" name="Picture 11">
          <a:extLst>
            <a:ext uri="{FF2B5EF4-FFF2-40B4-BE49-F238E27FC236}">
              <a16:creationId xmlns:a16="http://schemas.microsoft.com/office/drawing/2014/main" id="{338FB8CB-7F65-E417-913D-20797742CDEC}"/>
            </a:ext>
          </a:extLst>
        </xdr:cNvPr>
        <xdr:cNvPicPr>
          <a:picLocks noChangeAspect="1"/>
        </xdr:cNvPicPr>
      </xdr:nvPicPr>
      <xdr:blipFill>
        <a:blip xmlns:r="http://schemas.openxmlformats.org/officeDocument/2006/relationships" r:embed="rId3"/>
        <a:stretch>
          <a:fillRect/>
        </a:stretch>
      </xdr:blipFill>
      <xdr:spPr>
        <a:xfrm>
          <a:off x="6800850" y="914400"/>
          <a:ext cx="2030144" cy="384081"/>
        </a:xfrm>
        <a:prstGeom prst="rect">
          <a:avLst/>
        </a:prstGeom>
      </xdr:spPr>
    </xdr:pic>
    <xdr:clientData/>
  </xdr:twoCellAnchor>
  <xdr:twoCellAnchor>
    <xdr:from>
      <xdr:col>11</xdr:col>
      <xdr:colOff>142875</xdr:colOff>
      <xdr:row>6</xdr:row>
      <xdr:rowOff>85725</xdr:rowOff>
    </xdr:from>
    <xdr:to>
      <xdr:col>13</xdr:col>
      <xdr:colOff>371475</xdr:colOff>
      <xdr:row>7</xdr:row>
      <xdr:rowOff>152400</xdr:rowOff>
    </xdr:to>
    <xdr:sp macro="" textlink="Sheet5!B12">
      <xdr:nvSpPr>
        <xdr:cNvPr id="13" name="TextBox 12">
          <a:extLst>
            <a:ext uri="{FF2B5EF4-FFF2-40B4-BE49-F238E27FC236}">
              <a16:creationId xmlns:a16="http://schemas.microsoft.com/office/drawing/2014/main" id="{A15BF339-E751-4D51-A937-8C3FE45DE9B2}"/>
            </a:ext>
          </a:extLst>
        </xdr:cNvPr>
        <xdr:cNvSpPr txBox="1"/>
      </xdr:nvSpPr>
      <xdr:spPr>
        <a:xfrm>
          <a:off x="6848475" y="1228725"/>
          <a:ext cx="14478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07B384-DAA0-4A3E-BD1A-E4413469DDF4}" type="TxLink">
            <a:rPr lang="en-US" sz="16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67</a:t>
          </a:fld>
          <a:endParaRPr lang="en-US"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400050</xdr:colOff>
      <xdr:row>4</xdr:row>
      <xdr:rowOff>133350</xdr:rowOff>
    </xdr:from>
    <xdr:to>
      <xdr:col>20</xdr:col>
      <xdr:colOff>333375</xdr:colOff>
      <xdr:row>8</xdr:row>
      <xdr:rowOff>38100</xdr:rowOff>
    </xdr:to>
    <xdr:sp macro="" textlink="">
      <xdr:nvSpPr>
        <xdr:cNvPr id="22" name="Speech Bubble: Oval 21">
          <a:extLst>
            <a:ext uri="{FF2B5EF4-FFF2-40B4-BE49-F238E27FC236}">
              <a16:creationId xmlns:a16="http://schemas.microsoft.com/office/drawing/2014/main" id="{9B813F8A-0AD3-4C63-9055-999F1D228A27}"/>
            </a:ext>
          </a:extLst>
        </xdr:cNvPr>
        <xdr:cNvSpPr/>
      </xdr:nvSpPr>
      <xdr:spPr>
        <a:xfrm>
          <a:off x="9544050" y="895350"/>
          <a:ext cx="2981325" cy="666750"/>
        </a:xfrm>
        <a:prstGeom prst="wedgeEllipseCallou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16</xdr:col>
      <xdr:colOff>323850</xdr:colOff>
      <xdr:row>5</xdr:row>
      <xdr:rowOff>9525</xdr:rowOff>
    </xdr:from>
    <xdr:to>
      <xdr:col>19</xdr:col>
      <xdr:colOff>506904</xdr:colOff>
      <xdr:row>7</xdr:row>
      <xdr:rowOff>12606</xdr:rowOff>
    </xdr:to>
    <xdr:pic>
      <xdr:nvPicPr>
        <xdr:cNvPr id="23" name="Picture 22">
          <a:extLst>
            <a:ext uri="{FF2B5EF4-FFF2-40B4-BE49-F238E27FC236}">
              <a16:creationId xmlns:a16="http://schemas.microsoft.com/office/drawing/2014/main" id="{E3ACFF7F-910A-1AA9-8172-B9D2537A8381}"/>
            </a:ext>
          </a:extLst>
        </xdr:cNvPr>
        <xdr:cNvPicPr>
          <a:picLocks noChangeAspect="1"/>
        </xdr:cNvPicPr>
      </xdr:nvPicPr>
      <xdr:blipFill>
        <a:blip xmlns:r="http://schemas.openxmlformats.org/officeDocument/2006/relationships" r:embed="rId4"/>
        <a:stretch>
          <a:fillRect/>
        </a:stretch>
      </xdr:blipFill>
      <xdr:spPr>
        <a:xfrm>
          <a:off x="10077450" y="962025"/>
          <a:ext cx="2011854" cy="384081"/>
        </a:xfrm>
        <a:prstGeom prst="rect">
          <a:avLst/>
        </a:prstGeom>
      </xdr:spPr>
    </xdr:pic>
    <xdr:clientData/>
  </xdr:twoCellAnchor>
  <xdr:twoCellAnchor>
    <xdr:from>
      <xdr:col>16</xdr:col>
      <xdr:colOff>552450</xdr:colOff>
      <xdr:row>6</xdr:row>
      <xdr:rowOff>104775</xdr:rowOff>
    </xdr:from>
    <xdr:to>
      <xdr:col>18</xdr:col>
      <xdr:colOff>495300</xdr:colOff>
      <xdr:row>8</xdr:row>
      <xdr:rowOff>19050</xdr:rowOff>
    </xdr:to>
    <xdr:sp macro="" textlink="Sheet3!B8">
      <xdr:nvSpPr>
        <xdr:cNvPr id="24" name="TextBox 23">
          <a:extLst>
            <a:ext uri="{FF2B5EF4-FFF2-40B4-BE49-F238E27FC236}">
              <a16:creationId xmlns:a16="http://schemas.microsoft.com/office/drawing/2014/main" id="{9BDD4021-694A-424A-A1BA-A1AAF4285327}"/>
            </a:ext>
          </a:extLst>
        </xdr:cNvPr>
        <xdr:cNvSpPr txBox="1"/>
      </xdr:nvSpPr>
      <xdr:spPr>
        <a:xfrm>
          <a:off x="10306050" y="1247775"/>
          <a:ext cx="11620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68F39E-AF82-4A90-BDED-9CA9DF8C8D1D}" type="TxLink">
            <a:rPr lang="en-US" sz="14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67</a:t>
          </a:fld>
          <a:endParaRPr lang="en-US" sz="14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533400</xdr:colOff>
      <xdr:row>9</xdr:row>
      <xdr:rowOff>66676</xdr:rowOff>
    </xdr:from>
    <xdr:to>
      <xdr:col>21</xdr:col>
      <xdr:colOff>419100</xdr:colOff>
      <xdr:row>18</xdr:row>
      <xdr:rowOff>28576</xdr:rowOff>
    </xdr:to>
    <xdr:graphicFrame macro="">
      <xdr:nvGraphicFramePr>
        <xdr:cNvPr id="25" name="Chart 24">
          <a:extLst>
            <a:ext uri="{FF2B5EF4-FFF2-40B4-BE49-F238E27FC236}">
              <a16:creationId xmlns:a16="http://schemas.microsoft.com/office/drawing/2014/main" id="{D199460F-706C-4981-8E4E-4AB606E09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295275</xdr:colOff>
      <xdr:row>9</xdr:row>
      <xdr:rowOff>104775</xdr:rowOff>
    </xdr:from>
    <xdr:to>
      <xdr:col>9</xdr:col>
      <xdr:colOff>561975</xdr:colOff>
      <xdr:row>18</xdr:row>
      <xdr:rowOff>19050</xdr:rowOff>
    </xdr:to>
    <xdr:graphicFrame macro="">
      <xdr:nvGraphicFramePr>
        <xdr:cNvPr id="26" name="Chart 25">
          <a:extLst>
            <a:ext uri="{FF2B5EF4-FFF2-40B4-BE49-F238E27FC236}">
              <a16:creationId xmlns:a16="http://schemas.microsoft.com/office/drawing/2014/main" id="{F8AE1013-5AB8-472D-8346-3A4AA08E0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28575</xdr:colOff>
      <xdr:row>6</xdr:row>
      <xdr:rowOff>85725</xdr:rowOff>
    </xdr:from>
    <xdr:to>
      <xdr:col>15</xdr:col>
      <xdr:colOff>447675</xdr:colOff>
      <xdr:row>18</xdr:row>
      <xdr:rowOff>133350</xdr:rowOff>
    </xdr:to>
    <xdr:graphicFrame macro="">
      <xdr:nvGraphicFramePr>
        <xdr:cNvPr id="27" name="Chart 26">
          <a:extLst>
            <a:ext uri="{FF2B5EF4-FFF2-40B4-BE49-F238E27FC236}">
              <a16:creationId xmlns:a16="http://schemas.microsoft.com/office/drawing/2014/main" id="{1ACB05E7-FE5A-4D30-AE0B-DFE49B28B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466725</xdr:colOff>
      <xdr:row>5</xdr:row>
      <xdr:rowOff>123825</xdr:rowOff>
    </xdr:from>
    <xdr:to>
      <xdr:col>9</xdr:col>
      <xdr:colOff>180975</xdr:colOff>
      <xdr:row>7</xdr:row>
      <xdr:rowOff>38100</xdr:rowOff>
    </xdr:to>
    <xdr:pic>
      <xdr:nvPicPr>
        <xdr:cNvPr id="28" name="Picture 27">
          <a:hlinkClick xmlns:r="http://schemas.openxmlformats.org/officeDocument/2006/relationships" r:id="rId8"/>
          <a:extLst>
            <a:ext uri="{FF2B5EF4-FFF2-40B4-BE49-F238E27FC236}">
              <a16:creationId xmlns:a16="http://schemas.microsoft.com/office/drawing/2014/main" id="{B61FA835-DB00-4997-A9B0-7115737E4EBF}"/>
            </a:ext>
          </a:extLst>
        </xdr:cNvPr>
        <xdr:cNvPicPr>
          <a:picLocks noChangeAspect="1"/>
        </xdr:cNvPicPr>
      </xdr:nvPicPr>
      <xdr:blipFill>
        <a:blip xmlns:r="http://schemas.openxmlformats.org/officeDocument/2006/relationships" r:embed="rId9" cstate="print">
          <a:duotone>
            <a:prstClr val="black"/>
            <a:schemeClr val="accent3">
              <a:lumMod val="75000"/>
              <a:tint val="45000"/>
              <a:satMod val="400000"/>
            </a:schemeClr>
          </a:duotone>
          <a:alphaModFix amt="52000"/>
          <a:extLst>
            <a:ext uri="{28A0092B-C50C-407E-A947-70E740481C1C}">
              <a14:useLocalDpi xmlns:a14="http://schemas.microsoft.com/office/drawing/2010/main" val="0"/>
            </a:ext>
          </a:extLst>
        </a:blip>
        <a:stretch>
          <a:fillRect/>
        </a:stretch>
      </xdr:blipFill>
      <xdr:spPr>
        <a:xfrm>
          <a:off x="5343525" y="1076325"/>
          <a:ext cx="323850" cy="295275"/>
        </a:xfrm>
        <a:prstGeom prst="rect">
          <a:avLst/>
        </a:prstGeom>
        <a:ln>
          <a:noFill/>
        </a:ln>
      </xdr:spPr>
    </xdr:pic>
    <xdr:clientData/>
  </xdr:twoCellAnchor>
</xdr:wsDr>
</file>

<file path=xl/drawings/drawing8.xml><?xml version="1.0" encoding="utf-8"?>
<c:userShapes xmlns:c="http://schemas.openxmlformats.org/drawingml/2006/chart">
  <cdr:relSizeAnchor xmlns:cdr="http://schemas.openxmlformats.org/drawingml/2006/chartDrawing">
    <cdr:from>
      <cdr:x>0.54113</cdr:x>
      <cdr:y>0.91034</cdr:y>
    </cdr:from>
    <cdr:to>
      <cdr:x>0.68488</cdr:x>
      <cdr:y>0.95548</cdr:y>
    </cdr:to>
    <cdr:sp macro="" textlink="">
      <cdr:nvSpPr>
        <cdr:cNvPr id="2" name="Arrow: Right 1">
          <a:extLst xmlns:a="http://schemas.openxmlformats.org/drawingml/2006/main">
            <a:ext uri="{FF2B5EF4-FFF2-40B4-BE49-F238E27FC236}">
              <a16:creationId xmlns:a16="http://schemas.microsoft.com/office/drawing/2014/main" id="{B4AF09B2-990D-4CB4-5854-053353472031}"/>
            </a:ext>
          </a:extLst>
        </cdr:cNvPr>
        <cdr:cNvSpPr/>
      </cdr:nvSpPr>
      <cdr:spPr>
        <a:xfrm xmlns:a="http://schemas.openxmlformats.org/drawingml/2006/main">
          <a:off x="2206036" y="2037673"/>
          <a:ext cx="586026" cy="101040"/>
        </a:xfrm>
        <a:prstGeom xmlns:a="http://schemas.openxmlformats.org/drawingml/2006/main" prst="right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0.16389</cdr:x>
      <cdr:y>0.081</cdr:y>
    </cdr:from>
    <cdr:to>
      <cdr:x>0.18889</cdr:x>
      <cdr:y>0.21642</cdr:y>
    </cdr:to>
    <cdr:sp macro="" textlink="">
      <cdr:nvSpPr>
        <cdr:cNvPr id="4" name="Arrow: Up 3">
          <a:extLst xmlns:a="http://schemas.openxmlformats.org/drawingml/2006/main">
            <a:ext uri="{FF2B5EF4-FFF2-40B4-BE49-F238E27FC236}">
              <a16:creationId xmlns:a16="http://schemas.microsoft.com/office/drawing/2014/main" id="{395E85F6-8175-1A61-18ED-73C98D60458A}"/>
            </a:ext>
          </a:extLst>
        </cdr:cNvPr>
        <cdr:cNvSpPr/>
      </cdr:nvSpPr>
      <cdr:spPr>
        <a:xfrm xmlns:a="http://schemas.openxmlformats.org/drawingml/2006/main">
          <a:off x="789902" y="196747"/>
          <a:ext cx="120491" cy="328918"/>
        </a:xfrm>
        <a:prstGeom xmlns:a="http://schemas.openxmlformats.org/drawingml/2006/main" prst="upArrow">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854706712962" createdVersion="8" refreshedVersion="8" minRefreshableVersion="3" recordCount="1026" xr:uid="{85E2DC5A-9C1C-4852-8FCB-09F21AB4742D}">
  <cacheSource type="worksheet">
    <worksheetSource ref="A1:M1027" sheet="Sheet1"/>
  </cacheSource>
  <cacheFields count="13">
    <cacheField name="ID" numFmtId="0">
      <sharedItems containsSemiMixedTypes="0" containsString="0" containsNumber="1" containsInteger="1" minValue="11000" maxValue="29447"/>
    </cacheField>
    <cacheField name="Marital Status" numFmtId="0">
      <sharedItems count="2">
        <s v="M"/>
        <s v="S"/>
      </sharedItems>
    </cacheField>
    <cacheField name="Gender" numFmtId="0">
      <sharedItems count="2">
        <s v="F"/>
        <s v="M"/>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acheField>
  </cacheFields>
  <extLst>
    <ext xmlns:x14="http://schemas.microsoft.com/office/spreadsheetml/2009/9/main" uri="{725AE2AE-9491-48be-B2B4-4EB974FC3084}">
      <x14:pivotCacheDefinition pivotCacheId="55833166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53.956107754631" createdVersion="8" refreshedVersion="8" minRefreshableVersion="3" recordCount="1027" xr:uid="{E18785B3-B774-4847-B847-3EDE083E13FC}">
  <cacheSource type="worksheet">
    <worksheetSource ref="A1:M1028" sheet="Sheet1"/>
  </cacheSource>
  <cacheFields count="13">
    <cacheField name="ID" numFmtId="0">
      <sharedItems containsString="0" containsBlank="1" containsNumber="1" containsInteger="1" minValue="11000" maxValue="29447" count="1001">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m/>
      </sharedItems>
    </cacheField>
    <cacheField name="Marital Status" numFmtId="0">
      <sharedItems containsBlank="1"/>
    </cacheField>
    <cacheField name="Gender" numFmtId="0">
      <sharedItems containsBlank="1" count="3">
        <s v="F"/>
        <s v="M"/>
        <m/>
      </sharedItems>
    </cacheField>
    <cacheField name="Income" numFmtId="0">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acheField>
    <cacheField name="Age" numFmtId="0">
      <sharedItems containsSemiMixedTypes="0" containsString="0" containsNumber="1" containsInteger="1" minValue="25" maxValue="89"/>
    </cacheField>
    <cacheField name="Purchased Bike" numFmtId="0">
      <sharedItems containsBlank="1" count="3">
        <s v="No"/>
        <s v="Yes"/>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s v="Bachelors"/>
    <x v="0"/>
    <s v="Yes"/>
    <n v="0"/>
    <s v="0-1 Miles"/>
    <x v="0"/>
    <n v="42"/>
    <s v="No"/>
  </r>
  <r>
    <n v="24107"/>
    <x v="0"/>
    <x v="1"/>
    <n v="30000"/>
    <n v="3"/>
    <s v="Partial College"/>
    <x v="1"/>
    <s v="Yes"/>
    <n v="1"/>
    <s v="0-1 Miles"/>
    <x v="0"/>
    <n v="43"/>
    <s v="No"/>
  </r>
  <r>
    <n v="14177"/>
    <x v="0"/>
    <x v="1"/>
    <n v="80000"/>
    <n v="5"/>
    <s v="Partial College"/>
    <x v="2"/>
    <s v="No"/>
    <n v="2"/>
    <s v="2-5 Miles"/>
    <x v="0"/>
    <n v="60"/>
    <s v="No"/>
  </r>
  <r>
    <n v="24381"/>
    <x v="1"/>
    <x v="1"/>
    <n v="70000"/>
    <n v="0"/>
    <s v="Bachelors"/>
    <x v="2"/>
    <s v="Yes"/>
    <n v="1"/>
    <s v="5-10 Miles"/>
    <x v="1"/>
    <n v="41"/>
    <s v="Yes"/>
  </r>
  <r>
    <n v="25597"/>
    <x v="1"/>
    <x v="1"/>
    <n v="30000"/>
    <n v="0"/>
    <s v="Bachelors"/>
    <x v="1"/>
    <s v="No"/>
    <n v="0"/>
    <s v="0-1 Miles"/>
    <x v="0"/>
    <n v="36"/>
    <s v="Yes"/>
  </r>
  <r>
    <n v="13507"/>
    <x v="0"/>
    <x v="0"/>
    <n v="10000"/>
    <n v="2"/>
    <s v="Partial College"/>
    <x v="3"/>
    <s v="Yes"/>
    <n v="0"/>
    <s v="1-2 Miles"/>
    <x v="0"/>
    <n v="50"/>
    <s v="No"/>
  </r>
  <r>
    <n v="27974"/>
    <x v="1"/>
    <x v="1"/>
    <n v="160000"/>
    <n v="2"/>
    <s v="High School"/>
    <x v="4"/>
    <s v="Yes"/>
    <n v="4"/>
    <s v="0-1 Miles"/>
    <x v="1"/>
    <n v="33"/>
    <s v="Yes"/>
  </r>
  <r>
    <n v="19364"/>
    <x v="0"/>
    <x v="1"/>
    <n v="40000"/>
    <n v="1"/>
    <s v="Bachelors"/>
    <x v="0"/>
    <s v="Yes"/>
    <n v="0"/>
    <s v="0-1 Miles"/>
    <x v="0"/>
    <n v="43"/>
    <s v="Yes"/>
  </r>
  <r>
    <n v="22155"/>
    <x v="0"/>
    <x v="1"/>
    <n v="20000"/>
    <n v="2"/>
    <s v="Partial High School"/>
    <x v="1"/>
    <s v="Yes"/>
    <n v="2"/>
    <s v="5-10 Miles"/>
    <x v="1"/>
    <n v="58"/>
    <s v="No"/>
  </r>
  <r>
    <n v="19280"/>
    <x v="0"/>
    <x v="1"/>
    <n v="120000"/>
    <n v="2"/>
    <s v="Partial College"/>
    <x v="3"/>
    <s v="Yes"/>
    <n v="1"/>
    <s v="0-1 Miles"/>
    <x v="0"/>
    <n v="40"/>
    <s v="Yes"/>
  </r>
  <r>
    <n v="22173"/>
    <x v="0"/>
    <x v="0"/>
    <n v="30000"/>
    <n v="3"/>
    <s v="High School"/>
    <x v="0"/>
    <s v="No"/>
    <n v="2"/>
    <s v="1-2 Miles"/>
    <x v="1"/>
    <n v="54"/>
    <s v="Yes"/>
  </r>
  <r>
    <n v="12697"/>
    <x v="1"/>
    <x v="0"/>
    <n v="90000"/>
    <n v="0"/>
    <s v="Bachelors"/>
    <x v="2"/>
    <s v="No"/>
    <n v="4"/>
    <s v="10+ Miles"/>
    <x v="1"/>
    <n v="36"/>
    <s v="No"/>
  </r>
  <r>
    <n v="11434"/>
    <x v="0"/>
    <x v="1"/>
    <n v="170000"/>
    <n v="5"/>
    <s v="Partial College"/>
    <x v="2"/>
    <s v="Yes"/>
    <n v="0"/>
    <s v="0-1 Miles"/>
    <x v="0"/>
    <n v="55"/>
    <s v="No"/>
  </r>
  <r>
    <n v="25323"/>
    <x v="0"/>
    <x v="1"/>
    <n v="40000"/>
    <n v="2"/>
    <s v="Partial College"/>
    <x v="1"/>
    <s v="Yes"/>
    <n v="1"/>
    <s v="1-2 Miles"/>
    <x v="0"/>
    <n v="35"/>
    <s v="Yes"/>
  </r>
  <r>
    <n v="23542"/>
    <x v="1"/>
    <x v="1"/>
    <n v="60000"/>
    <n v="1"/>
    <s v="Partial College"/>
    <x v="0"/>
    <s v="No"/>
    <n v="1"/>
    <s v="0-1 Miles"/>
    <x v="1"/>
    <n v="45"/>
    <s v="Yes"/>
  </r>
  <r>
    <n v="20870"/>
    <x v="1"/>
    <x v="0"/>
    <n v="10000"/>
    <n v="2"/>
    <s v="High School"/>
    <x v="3"/>
    <s v="Yes"/>
    <n v="1"/>
    <s v="0-1 Miles"/>
    <x v="0"/>
    <n v="38"/>
    <s v="Yes"/>
  </r>
  <r>
    <n v="23316"/>
    <x v="1"/>
    <x v="1"/>
    <n v="30000"/>
    <n v="3"/>
    <s v="Partial College"/>
    <x v="1"/>
    <s v="No"/>
    <n v="2"/>
    <s v="1-2 Miles"/>
    <x v="1"/>
    <n v="59"/>
    <s v="Yes"/>
  </r>
  <r>
    <n v="12610"/>
    <x v="0"/>
    <x v="0"/>
    <n v="30000"/>
    <n v="1"/>
    <s v="Bachelors"/>
    <x v="1"/>
    <s v="Yes"/>
    <n v="0"/>
    <s v="0-1 Miles"/>
    <x v="0"/>
    <n v="47"/>
    <s v="No"/>
  </r>
  <r>
    <n v="27183"/>
    <x v="1"/>
    <x v="1"/>
    <n v="40000"/>
    <n v="2"/>
    <s v="Partial College"/>
    <x v="1"/>
    <s v="Yes"/>
    <n v="1"/>
    <s v="1-2 Miles"/>
    <x v="0"/>
    <n v="35"/>
    <s v="Yes"/>
  </r>
  <r>
    <n v="25940"/>
    <x v="1"/>
    <x v="1"/>
    <n v="20000"/>
    <n v="2"/>
    <s v="Partial High School"/>
    <x v="1"/>
    <s v="Yes"/>
    <n v="2"/>
    <s v="5-10 Miles"/>
    <x v="1"/>
    <n v="55"/>
    <s v="Yes"/>
  </r>
  <r>
    <n v="25598"/>
    <x v="0"/>
    <x v="0"/>
    <n v="40000"/>
    <n v="0"/>
    <s v="Graduate Degree"/>
    <x v="1"/>
    <s v="Yes"/>
    <n v="0"/>
    <s v="0-1 Miles"/>
    <x v="0"/>
    <n v="36"/>
    <s v="Yes"/>
  </r>
  <r>
    <n v="21564"/>
    <x v="1"/>
    <x v="0"/>
    <n v="80000"/>
    <n v="0"/>
    <s v="Bachelors"/>
    <x v="2"/>
    <s v="Yes"/>
    <n v="4"/>
    <s v="10+ Miles"/>
    <x v="1"/>
    <n v="35"/>
    <s v="No"/>
  </r>
  <r>
    <n v="19193"/>
    <x v="1"/>
    <x v="1"/>
    <n v="40000"/>
    <n v="2"/>
    <s v="Partial College"/>
    <x v="1"/>
    <s v="Yes"/>
    <n v="0"/>
    <s v="1-2 Miles"/>
    <x v="0"/>
    <n v="35"/>
    <s v="Yes"/>
  </r>
  <r>
    <n v="26412"/>
    <x v="0"/>
    <x v="0"/>
    <n v="80000"/>
    <n v="5"/>
    <s v="High School"/>
    <x v="4"/>
    <s v="No"/>
    <n v="3"/>
    <s v="5-10 Miles"/>
    <x v="0"/>
    <n v="56"/>
    <s v="No"/>
  </r>
  <r>
    <n v="27184"/>
    <x v="1"/>
    <x v="1"/>
    <n v="40000"/>
    <n v="2"/>
    <s v="Partial College"/>
    <x v="1"/>
    <s v="No"/>
    <n v="1"/>
    <s v="0-1 Miles"/>
    <x v="0"/>
    <n v="34"/>
    <s v="No"/>
  </r>
  <r>
    <n v="12590"/>
    <x v="1"/>
    <x v="1"/>
    <n v="30000"/>
    <n v="1"/>
    <s v="Bachelors"/>
    <x v="1"/>
    <s v="Yes"/>
    <n v="0"/>
    <s v="0-1 Miles"/>
    <x v="0"/>
    <n v="63"/>
    <s v="No"/>
  </r>
  <r>
    <n v="17841"/>
    <x v="1"/>
    <x v="1"/>
    <n v="30000"/>
    <n v="0"/>
    <s v="Partial College"/>
    <x v="1"/>
    <s v="No"/>
    <n v="1"/>
    <s v="0-1 Miles"/>
    <x v="0"/>
    <n v="29"/>
    <s v="Yes"/>
  </r>
  <r>
    <n v="18283"/>
    <x v="1"/>
    <x v="0"/>
    <n v="100000"/>
    <n v="0"/>
    <s v="Bachelors"/>
    <x v="2"/>
    <s v="No"/>
    <n v="1"/>
    <s v="5-10 Miles"/>
    <x v="1"/>
    <n v="40"/>
    <s v="No"/>
  </r>
  <r>
    <n v="18299"/>
    <x v="0"/>
    <x v="1"/>
    <n v="70000"/>
    <n v="5"/>
    <s v="Partial College"/>
    <x v="0"/>
    <s v="Yes"/>
    <n v="2"/>
    <s v="5-10 Miles"/>
    <x v="1"/>
    <n v="44"/>
    <s v="No"/>
  </r>
  <r>
    <n v="16466"/>
    <x v="1"/>
    <x v="0"/>
    <n v="20000"/>
    <n v="0"/>
    <s v="Partial High School"/>
    <x v="3"/>
    <s v="No"/>
    <n v="2"/>
    <s v="0-1 Miles"/>
    <x v="0"/>
    <n v="32"/>
    <s v="Yes"/>
  </r>
  <r>
    <n v="19273"/>
    <x v="0"/>
    <x v="0"/>
    <n v="20000"/>
    <n v="2"/>
    <s v="Partial College"/>
    <x v="3"/>
    <s v="Yes"/>
    <n v="0"/>
    <s v="0-1 Miles"/>
    <x v="0"/>
    <n v="63"/>
    <s v="No"/>
  </r>
  <r>
    <n v="22400"/>
    <x v="0"/>
    <x v="1"/>
    <n v="10000"/>
    <n v="0"/>
    <s v="Partial College"/>
    <x v="3"/>
    <s v="No"/>
    <n v="1"/>
    <s v="0-1 Miles"/>
    <x v="1"/>
    <n v="26"/>
    <s v="Yes"/>
  </r>
  <r>
    <n v="20942"/>
    <x v="1"/>
    <x v="0"/>
    <n v="20000"/>
    <n v="0"/>
    <s v="High School"/>
    <x v="3"/>
    <s v="No"/>
    <n v="1"/>
    <s v="5-10 Miles"/>
    <x v="0"/>
    <n v="31"/>
    <s v="No"/>
  </r>
  <r>
    <n v="18484"/>
    <x v="1"/>
    <x v="1"/>
    <n v="80000"/>
    <n v="2"/>
    <s v="High School"/>
    <x v="0"/>
    <s v="No"/>
    <n v="2"/>
    <s v="1-2 Miles"/>
    <x v="1"/>
    <n v="50"/>
    <s v="Yes"/>
  </r>
  <r>
    <n v="12291"/>
    <x v="1"/>
    <x v="1"/>
    <n v="90000"/>
    <n v="5"/>
    <s v="Partial College"/>
    <x v="2"/>
    <s v="No"/>
    <n v="2"/>
    <s v="2-5 Miles"/>
    <x v="0"/>
    <n v="62"/>
    <s v="Yes"/>
  </r>
  <r>
    <n v="28380"/>
    <x v="1"/>
    <x v="0"/>
    <n v="10000"/>
    <n v="5"/>
    <s v="Partial High School"/>
    <x v="3"/>
    <s v="No"/>
    <n v="2"/>
    <s v="0-1 Miles"/>
    <x v="0"/>
    <n v="41"/>
    <s v="No"/>
  </r>
  <r>
    <n v="17891"/>
    <x v="0"/>
    <x v="0"/>
    <n v="10000"/>
    <n v="2"/>
    <s v="Partial College"/>
    <x v="3"/>
    <s v="Yes"/>
    <n v="1"/>
    <s v="0-1 Miles"/>
    <x v="0"/>
    <n v="50"/>
    <s v="Yes"/>
  </r>
  <r>
    <n v="27832"/>
    <x v="1"/>
    <x v="0"/>
    <n v="30000"/>
    <n v="0"/>
    <s v="Partial College"/>
    <x v="1"/>
    <s v="No"/>
    <n v="1"/>
    <s v="2-5 Miles"/>
    <x v="0"/>
    <n v="30"/>
    <s v="No"/>
  </r>
  <r>
    <n v="26863"/>
    <x v="1"/>
    <x v="1"/>
    <n v="20000"/>
    <n v="0"/>
    <s v="High School"/>
    <x v="3"/>
    <s v="No"/>
    <n v="1"/>
    <s v="2-5 Miles"/>
    <x v="0"/>
    <n v="28"/>
    <s v="No"/>
  </r>
  <r>
    <n v="16259"/>
    <x v="1"/>
    <x v="0"/>
    <n v="10000"/>
    <n v="4"/>
    <s v="Partial High School"/>
    <x v="3"/>
    <s v="Yes"/>
    <n v="2"/>
    <s v="0-1 Miles"/>
    <x v="0"/>
    <n v="40"/>
    <s v="Yes"/>
  </r>
  <r>
    <n v="27803"/>
    <x v="1"/>
    <x v="0"/>
    <n v="30000"/>
    <n v="2"/>
    <s v="Partial College"/>
    <x v="1"/>
    <s v="No"/>
    <n v="0"/>
    <s v="0-1 Miles"/>
    <x v="0"/>
    <n v="43"/>
    <s v="No"/>
  </r>
  <r>
    <n v="14347"/>
    <x v="1"/>
    <x v="0"/>
    <n v="40000"/>
    <n v="2"/>
    <s v="Bachelors"/>
    <x v="4"/>
    <s v="Yes"/>
    <n v="2"/>
    <s v="5-10 Miles"/>
    <x v="1"/>
    <n v="65"/>
    <s v="Yes"/>
  </r>
  <r>
    <n v="17703"/>
    <x v="0"/>
    <x v="0"/>
    <n v="10000"/>
    <n v="1"/>
    <s v="Graduate Degree"/>
    <x v="3"/>
    <s v="Yes"/>
    <n v="0"/>
    <s v="0-1 Miles"/>
    <x v="0"/>
    <n v="40"/>
    <s v="No"/>
  </r>
  <r>
    <n v="17185"/>
    <x v="0"/>
    <x v="0"/>
    <n v="170000"/>
    <n v="4"/>
    <s v="Partial College"/>
    <x v="2"/>
    <s v="No"/>
    <n v="3"/>
    <s v="5-10 Miles"/>
    <x v="0"/>
    <n v="48"/>
    <s v="Yes"/>
  </r>
  <r>
    <n v="29380"/>
    <x v="0"/>
    <x v="0"/>
    <n v="20000"/>
    <n v="3"/>
    <s v="High School"/>
    <x v="3"/>
    <s v="Yes"/>
    <n v="0"/>
    <s v="0-1 Miles"/>
    <x v="0"/>
    <n v="41"/>
    <s v="Yes"/>
  </r>
  <r>
    <n v="23986"/>
    <x v="0"/>
    <x v="0"/>
    <n v="20000"/>
    <n v="1"/>
    <s v="Bachelors"/>
    <x v="1"/>
    <s v="Yes"/>
    <n v="0"/>
    <s v="0-1 Miles"/>
    <x v="0"/>
    <n v="66"/>
    <s v="Yes"/>
  </r>
  <r>
    <n v="24466"/>
    <x v="0"/>
    <x v="0"/>
    <n v="60000"/>
    <n v="1"/>
    <s v="Partial College"/>
    <x v="0"/>
    <s v="Yes"/>
    <n v="1"/>
    <s v="5-10 Miles"/>
    <x v="1"/>
    <n v="46"/>
    <s v="Yes"/>
  </r>
  <r>
    <n v="29097"/>
    <x v="1"/>
    <x v="0"/>
    <n v="40000"/>
    <n v="2"/>
    <s v="Partial College"/>
    <x v="0"/>
    <s v="Yes"/>
    <n v="2"/>
    <s v="5-10 Miles"/>
    <x v="1"/>
    <n v="52"/>
    <s v="Yes"/>
  </r>
  <r>
    <n v="19487"/>
    <x v="0"/>
    <x v="1"/>
    <n v="30000"/>
    <n v="2"/>
    <s v="Partial College"/>
    <x v="1"/>
    <s v="No"/>
    <n v="2"/>
    <s v="0-1 Miles"/>
    <x v="0"/>
    <n v="42"/>
    <s v="No"/>
  </r>
  <r>
    <n v="14939"/>
    <x v="1"/>
    <x v="1"/>
    <n v="40000"/>
    <n v="0"/>
    <s v="Bachelors"/>
    <x v="1"/>
    <s v="Yes"/>
    <n v="0"/>
    <s v="0-1 Miles"/>
    <x v="0"/>
    <n v="39"/>
    <s v="Yes"/>
  </r>
  <r>
    <n v="13826"/>
    <x v="1"/>
    <x v="0"/>
    <n v="30000"/>
    <n v="0"/>
    <s v="Partial College"/>
    <x v="1"/>
    <s v="No"/>
    <n v="1"/>
    <s v="0-1 Miles"/>
    <x v="0"/>
    <n v="28"/>
    <s v="No"/>
  </r>
  <r>
    <n v="20619"/>
    <x v="1"/>
    <x v="1"/>
    <n v="80000"/>
    <n v="0"/>
    <s v="Bachelors"/>
    <x v="2"/>
    <s v="No"/>
    <n v="4"/>
    <s v="10+ Miles"/>
    <x v="1"/>
    <n v="35"/>
    <s v="No"/>
  </r>
  <r>
    <n v="12558"/>
    <x v="0"/>
    <x v="0"/>
    <n v="20000"/>
    <n v="1"/>
    <s v="Bachelors"/>
    <x v="1"/>
    <s v="Yes"/>
    <n v="0"/>
    <s v="0-1 Miles"/>
    <x v="0"/>
    <n v="65"/>
    <s v="No"/>
  </r>
  <r>
    <n v="24871"/>
    <x v="1"/>
    <x v="0"/>
    <n v="90000"/>
    <n v="4"/>
    <s v="High School"/>
    <x v="4"/>
    <s v="No"/>
    <n v="3"/>
    <s v="5-10 Miles"/>
    <x v="0"/>
    <n v="56"/>
    <s v="No"/>
  </r>
  <r>
    <n v="17319"/>
    <x v="1"/>
    <x v="0"/>
    <n v="70000"/>
    <n v="0"/>
    <s v="Bachelors"/>
    <x v="2"/>
    <s v="No"/>
    <n v="1"/>
    <s v="5-10 Miles"/>
    <x v="1"/>
    <n v="42"/>
    <s v="No"/>
  </r>
  <r>
    <n v="28906"/>
    <x v="0"/>
    <x v="1"/>
    <n v="80000"/>
    <n v="4"/>
    <s v="High School"/>
    <x v="2"/>
    <s v="Yes"/>
    <n v="2"/>
    <s v="10+ Miles"/>
    <x v="0"/>
    <n v="54"/>
    <s v="No"/>
  </r>
  <r>
    <n v="12808"/>
    <x v="0"/>
    <x v="1"/>
    <n v="40000"/>
    <n v="0"/>
    <s v="Bachelors"/>
    <x v="1"/>
    <s v="Yes"/>
    <n v="0"/>
    <s v="0-1 Miles"/>
    <x v="0"/>
    <n v="38"/>
    <s v="Yes"/>
  </r>
  <r>
    <n v="20567"/>
    <x v="0"/>
    <x v="1"/>
    <n v="130000"/>
    <n v="4"/>
    <s v="Partial College"/>
    <x v="2"/>
    <s v="No"/>
    <n v="4"/>
    <s v="5-10 Miles"/>
    <x v="0"/>
    <n v="61"/>
    <s v="Yes"/>
  </r>
  <r>
    <n v="25502"/>
    <x v="0"/>
    <x v="0"/>
    <n v="40000"/>
    <n v="1"/>
    <s v="Bachelors"/>
    <x v="0"/>
    <s v="Yes"/>
    <n v="0"/>
    <s v="0-1 Miles"/>
    <x v="0"/>
    <n v="43"/>
    <s v="Yes"/>
  </r>
  <r>
    <n v="15580"/>
    <x v="0"/>
    <x v="1"/>
    <n v="60000"/>
    <n v="2"/>
    <s v="Bachelors"/>
    <x v="2"/>
    <s v="Yes"/>
    <n v="1"/>
    <s v="2-5 Miles"/>
    <x v="1"/>
    <n v="38"/>
    <s v="Yes"/>
  </r>
  <r>
    <n v="24185"/>
    <x v="1"/>
    <x v="0"/>
    <n v="10000"/>
    <n v="1"/>
    <s v="High School"/>
    <x v="3"/>
    <s v="No"/>
    <n v="1"/>
    <s v="1-2 Miles"/>
    <x v="0"/>
    <n v="45"/>
    <s v="No"/>
  </r>
  <r>
    <n v="19291"/>
    <x v="1"/>
    <x v="0"/>
    <n v="10000"/>
    <n v="2"/>
    <s v="High School"/>
    <x v="3"/>
    <s v="Yes"/>
    <n v="0"/>
    <s v="0-1 Miles"/>
    <x v="0"/>
    <n v="35"/>
    <s v="No"/>
  </r>
  <r>
    <n v="16713"/>
    <x v="0"/>
    <x v="1"/>
    <n v="40000"/>
    <n v="2"/>
    <s v="Bachelors"/>
    <x v="4"/>
    <s v="Yes"/>
    <n v="1"/>
    <s v="0-1 Miles"/>
    <x v="1"/>
    <n v="52"/>
    <s v="Yes"/>
  </r>
  <r>
    <n v="16185"/>
    <x v="1"/>
    <x v="1"/>
    <n v="60000"/>
    <n v="4"/>
    <s v="Bachelors"/>
    <x v="2"/>
    <s v="Yes"/>
    <n v="3"/>
    <s v="10+ Miles"/>
    <x v="1"/>
    <n v="41"/>
    <s v="No"/>
  </r>
  <r>
    <n v="14927"/>
    <x v="0"/>
    <x v="0"/>
    <n v="30000"/>
    <n v="1"/>
    <s v="Bachelors"/>
    <x v="1"/>
    <s v="Yes"/>
    <n v="0"/>
    <s v="0-1 Miles"/>
    <x v="0"/>
    <n v="37"/>
    <s v="Yes"/>
  </r>
  <r>
    <n v="29337"/>
    <x v="1"/>
    <x v="1"/>
    <n v="30000"/>
    <n v="2"/>
    <s v="Partial College"/>
    <x v="1"/>
    <s v="Yes"/>
    <n v="2"/>
    <s v="5-10 Miles"/>
    <x v="1"/>
    <n v="68"/>
    <s v="No"/>
  </r>
  <r>
    <n v="29355"/>
    <x v="0"/>
    <x v="0"/>
    <n v="40000"/>
    <n v="0"/>
    <s v="Graduate Degree"/>
    <x v="1"/>
    <s v="Yes"/>
    <n v="0"/>
    <s v="0-1 Miles"/>
    <x v="0"/>
    <n v="37"/>
    <s v="Yes"/>
  </r>
  <r>
    <n v="25303"/>
    <x v="1"/>
    <x v="1"/>
    <n v="30000"/>
    <n v="0"/>
    <s v="High School"/>
    <x v="3"/>
    <s v="Yes"/>
    <n v="1"/>
    <s v="2-5 Miles"/>
    <x v="0"/>
    <n v="33"/>
    <s v="Yes"/>
  </r>
  <r>
    <n v="14813"/>
    <x v="1"/>
    <x v="0"/>
    <n v="20000"/>
    <n v="4"/>
    <s v="High School"/>
    <x v="3"/>
    <s v="Yes"/>
    <n v="1"/>
    <s v="0-1 Miles"/>
    <x v="0"/>
    <n v="43"/>
    <s v="Yes"/>
  </r>
  <r>
    <n v="16438"/>
    <x v="0"/>
    <x v="0"/>
    <n v="10000"/>
    <n v="0"/>
    <s v="Partial High School"/>
    <x v="3"/>
    <s v="No"/>
    <n v="2"/>
    <s v="0-1 Miles"/>
    <x v="0"/>
    <n v="30"/>
    <s v="No"/>
  </r>
  <r>
    <n v="14238"/>
    <x v="0"/>
    <x v="1"/>
    <n v="120000"/>
    <n v="0"/>
    <s v="Partial High School"/>
    <x v="2"/>
    <s v="Yes"/>
    <n v="4"/>
    <s v="10+ Miles"/>
    <x v="1"/>
    <n v="36"/>
    <s v="Yes"/>
  </r>
  <r>
    <n v="16200"/>
    <x v="1"/>
    <x v="0"/>
    <n v="10000"/>
    <n v="0"/>
    <s v="Partial High School"/>
    <x v="3"/>
    <s v="No"/>
    <n v="2"/>
    <s v="0-1 Miles"/>
    <x v="0"/>
    <n v="35"/>
    <s v="No"/>
  </r>
  <r>
    <n v="24857"/>
    <x v="0"/>
    <x v="0"/>
    <n v="130000"/>
    <n v="3"/>
    <s v="High School"/>
    <x v="2"/>
    <s v="Yes"/>
    <n v="4"/>
    <s v="0-1 Miles"/>
    <x v="0"/>
    <n v="52"/>
    <s v="No"/>
  </r>
  <r>
    <n v="26956"/>
    <x v="1"/>
    <x v="0"/>
    <n v="20000"/>
    <n v="0"/>
    <s v="Partial College"/>
    <x v="3"/>
    <s v="No"/>
    <n v="1"/>
    <s v="2-5 Miles"/>
    <x v="0"/>
    <n v="36"/>
    <s v="Yes"/>
  </r>
  <r>
    <n v="14517"/>
    <x v="0"/>
    <x v="0"/>
    <n v="20000"/>
    <n v="3"/>
    <s v="High School"/>
    <x v="0"/>
    <s v="No"/>
    <n v="2"/>
    <s v="1-2 Miles"/>
    <x v="1"/>
    <n v="62"/>
    <s v="No"/>
  </r>
  <r>
    <n v="12678"/>
    <x v="1"/>
    <x v="0"/>
    <n v="130000"/>
    <n v="4"/>
    <s v="High School"/>
    <x v="4"/>
    <s v="Yes"/>
    <n v="4"/>
    <s v="0-1 Miles"/>
    <x v="1"/>
    <n v="31"/>
    <s v="No"/>
  </r>
  <r>
    <n v="16188"/>
    <x v="1"/>
    <x v="0"/>
    <n v="20000"/>
    <n v="0"/>
    <s v="Partial High School"/>
    <x v="3"/>
    <s v="No"/>
    <n v="2"/>
    <s v="1-2 Miles"/>
    <x v="0"/>
    <n v="26"/>
    <s v="No"/>
  </r>
  <r>
    <n v="27969"/>
    <x v="0"/>
    <x v="1"/>
    <n v="80000"/>
    <n v="0"/>
    <s v="Bachelors"/>
    <x v="2"/>
    <s v="Yes"/>
    <n v="2"/>
    <s v="10+ Miles"/>
    <x v="1"/>
    <n v="29"/>
    <s v="Yes"/>
  </r>
  <r>
    <n v="15752"/>
    <x v="0"/>
    <x v="1"/>
    <n v="80000"/>
    <n v="2"/>
    <s v="High School"/>
    <x v="0"/>
    <s v="No"/>
    <n v="2"/>
    <s v="1-2 Miles"/>
    <x v="1"/>
    <n v="50"/>
    <s v="Yes"/>
  </r>
  <r>
    <n v="27745"/>
    <x v="1"/>
    <x v="1"/>
    <n v="40000"/>
    <n v="2"/>
    <s v="Bachelors"/>
    <x v="4"/>
    <s v="Yes"/>
    <n v="2"/>
    <s v="5-10 Miles"/>
    <x v="1"/>
    <n v="63"/>
    <s v="Yes"/>
  </r>
  <r>
    <n v="20828"/>
    <x v="0"/>
    <x v="0"/>
    <n v="30000"/>
    <n v="4"/>
    <s v="Graduate Degree"/>
    <x v="1"/>
    <s v="Yes"/>
    <n v="0"/>
    <s v="0-1 Miles"/>
    <x v="0"/>
    <n v="45"/>
    <s v="Yes"/>
  </r>
  <r>
    <n v="19461"/>
    <x v="1"/>
    <x v="0"/>
    <n v="10000"/>
    <n v="4"/>
    <s v="Partial High School"/>
    <x v="3"/>
    <s v="Yes"/>
    <n v="2"/>
    <s v="0-1 Miles"/>
    <x v="0"/>
    <n v="40"/>
    <s v="No"/>
  </r>
  <r>
    <n v="26941"/>
    <x v="0"/>
    <x v="1"/>
    <n v="30000"/>
    <n v="0"/>
    <s v="Bachelors"/>
    <x v="1"/>
    <s v="Yes"/>
    <n v="0"/>
    <s v="0-1 Miles"/>
    <x v="0"/>
    <n v="47"/>
    <s v="Yes"/>
  </r>
  <r>
    <n v="28412"/>
    <x v="1"/>
    <x v="1"/>
    <n v="20000"/>
    <n v="0"/>
    <s v="High School"/>
    <x v="3"/>
    <s v="No"/>
    <n v="1"/>
    <s v="2-5 Miles"/>
    <x v="0"/>
    <n v="29"/>
    <s v="No"/>
  </r>
  <r>
    <n v="24485"/>
    <x v="1"/>
    <x v="1"/>
    <n v="40000"/>
    <n v="2"/>
    <s v="Bachelors"/>
    <x v="4"/>
    <s v="No"/>
    <n v="1"/>
    <s v="5-10 Miles"/>
    <x v="1"/>
    <n v="52"/>
    <s v="Yes"/>
  </r>
  <r>
    <n v="16514"/>
    <x v="1"/>
    <x v="1"/>
    <n v="10000"/>
    <n v="0"/>
    <s v="Partial College"/>
    <x v="3"/>
    <s v="Yes"/>
    <n v="1"/>
    <s v="1-2 Miles"/>
    <x v="1"/>
    <n v="26"/>
    <s v="Yes"/>
  </r>
  <r>
    <n v="17191"/>
    <x v="1"/>
    <x v="1"/>
    <n v="130000"/>
    <n v="3"/>
    <s v="Partial College"/>
    <x v="2"/>
    <s v="No"/>
    <n v="3"/>
    <s v="0-1 Miles"/>
    <x v="0"/>
    <n v="51"/>
    <s v="Yes"/>
  </r>
  <r>
    <n v="19608"/>
    <x v="0"/>
    <x v="1"/>
    <n v="80000"/>
    <n v="5"/>
    <s v="Bachelors"/>
    <x v="2"/>
    <s v="Yes"/>
    <n v="4"/>
    <s v="1-2 Miles"/>
    <x v="1"/>
    <n v="40"/>
    <s v="No"/>
  </r>
  <r>
    <n v="24119"/>
    <x v="1"/>
    <x v="1"/>
    <n v="30000"/>
    <n v="0"/>
    <s v="Partial College"/>
    <x v="1"/>
    <s v="No"/>
    <n v="1"/>
    <s v="2-5 Miles"/>
    <x v="0"/>
    <n v="29"/>
    <s v="No"/>
  </r>
  <r>
    <n v="25458"/>
    <x v="0"/>
    <x v="1"/>
    <n v="20000"/>
    <n v="1"/>
    <s v="High School"/>
    <x v="3"/>
    <s v="No"/>
    <n v="1"/>
    <s v="1-2 Miles"/>
    <x v="0"/>
    <n v="40"/>
    <s v="Yes"/>
  </r>
  <r>
    <n v="26886"/>
    <x v="1"/>
    <x v="0"/>
    <n v="30000"/>
    <n v="0"/>
    <s v="Partial College"/>
    <x v="1"/>
    <s v="No"/>
    <n v="1"/>
    <s v="0-1 Miles"/>
    <x v="0"/>
    <n v="29"/>
    <s v="Yes"/>
  </r>
  <r>
    <n v="28436"/>
    <x v="1"/>
    <x v="1"/>
    <n v="30000"/>
    <n v="0"/>
    <s v="Partial College"/>
    <x v="1"/>
    <s v="No"/>
    <n v="1"/>
    <s v="0-1 Miles"/>
    <x v="0"/>
    <n v="30"/>
    <s v="Yes"/>
  </r>
  <r>
    <n v="19562"/>
    <x v="1"/>
    <x v="0"/>
    <n v="60000"/>
    <n v="2"/>
    <s v="Bachelors"/>
    <x v="2"/>
    <s v="Yes"/>
    <n v="1"/>
    <s v="2-5 Miles"/>
    <x v="1"/>
    <n v="37"/>
    <s v="Yes"/>
  </r>
  <r>
    <n v="15608"/>
    <x v="1"/>
    <x v="0"/>
    <n v="30000"/>
    <n v="0"/>
    <s v="Partial College"/>
    <x v="1"/>
    <s v="No"/>
    <n v="1"/>
    <s v="2-5 Miles"/>
    <x v="0"/>
    <n v="33"/>
    <s v="No"/>
  </r>
  <r>
    <n v="16487"/>
    <x v="1"/>
    <x v="0"/>
    <n v="30000"/>
    <n v="3"/>
    <s v="High School"/>
    <x v="0"/>
    <s v="Yes"/>
    <n v="2"/>
    <s v="5-10 Miles"/>
    <x v="1"/>
    <n v="55"/>
    <s v="No"/>
  </r>
  <r>
    <n v="17197"/>
    <x v="1"/>
    <x v="0"/>
    <n v="90000"/>
    <n v="5"/>
    <s v="Partial College"/>
    <x v="2"/>
    <s v="Yes"/>
    <n v="2"/>
    <s v="10+ Miles"/>
    <x v="0"/>
    <n v="62"/>
    <s v="No"/>
  </r>
  <r>
    <n v="12507"/>
    <x v="0"/>
    <x v="1"/>
    <n v="30000"/>
    <n v="1"/>
    <s v="Partial College"/>
    <x v="1"/>
    <s v="Yes"/>
    <n v="1"/>
    <s v="0-1 Miles"/>
    <x v="0"/>
    <n v="43"/>
    <s v="No"/>
  </r>
  <r>
    <n v="23940"/>
    <x v="0"/>
    <x v="1"/>
    <n v="40000"/>
    <n v="1"/>
    <s v="Bachelors"/>
    <x v="0"/>
    <s v="Yes"/>
    <n v="1"/>
    <s v="0-1 Miles"/>
    <x v="0"/>
    <n v="44"/>
    <s v="Yes"/>
  </r>
  <r>
    <n v="19441"/>
    <x v="0"/>
    <x v="1"/>
    <n v="40000"/>
    <n v="0"/>
    <s v="Graduate Degree"/>
    <x v="1"/>
    <s v="Yes"/>
    <n v="0"/>
    <s v="0-1 Miles"/>
    <x v="0"/>
    <n v="25"/>
    <s v="Yes"/>
  </r>
  <r>
    <n v="26852"/>
    <x v="0"/>
    <x v="0"/>
    <n v="20000"/>
    <n v="3"/>
    <s v="High School"/>
    <x v="3"/>
    <s v="Yes"/>
    <n v="2"/>
    <s v="0-1 Miles"/>
    <x v="0"/>
    <n v="43"/>
    <s v="No"/>
  </r>
  <r>
    <n v="12274"/>
    <x v="1"/>
    <x v="1"/>
    <n v="10000"/>
    <n v="2"/>
    <s v="High School"/>
    <x v="3"/>
    <s v="Yes"/>
    <n v="0"/>
    <s v="0-1 Miles"/>
    <x v="0"/>
    <n v="35"/>
    <s v="No"/>
  </r>
  <r>
    <n v="20236"/>
    <x v="1"/>
    <x v="1"/>
    <n v="60000"/>
    <n v="3"/>
    <s v="Bachelors"/>
    <x v="2"/>
    <s v="No"/>
    <n v="2"/>
    <s v="0-1 Miles"/>
    <x v="1"/>
    <n v="43"/>
    <s v="Yes"/>
  </r>
  <r>
    <n v="24149"/>
    <x v="0"/>
    <x v="1"/>
    <n v="10000"/>
    <n v="2"/>
    <s v="Partial College"/>
    <x v="3"/>
    <s v="Yes"/>
    <n v="0"/>
    <s v="1-2 Miles"/>
    <x v="0"/>
    <n v="49"/>
    <s v="No"/>
  </r>
  <r>
    <n v="26139"/>
    <x v="1"/>
    <x v="1"/>
    <n v="60000"/>
    <n v="1"/>
    <s v="Partial College"/>
    <x v="0"/>
    <s v="Yes"/>
    <n v="1"/>
    <s v="5-10 Miles"/>
    <x v="1"/>
    <n v="45"/>
    <s v="No"/>
  </r>
  <r>
    <n v="18491"/>
    <x v="1"/>
    <x v="0"/>
    <n v="70000"/>
    <n v="2"/>
    <s v="High School"/>
    <x v="2"/>
    <s v="Yes"/>
    <n v="2"/>
    <s v="5-10 Miles"/>
    <x v="1"/>
    <n v="49"/>
    <s v="Yes"/>
  </r>
  <r>
    <n v="22707"/>
    <x v="1"/>
    <x v="0"/>
    <n v="30000"/>
    <n v="0"/>
    <s v="Partial College"/>
    <x v="1"/>
    <s v="No"/>
    <n v="1"/>
    <s v="2-5 Miles"/>
    <x v="0"/>
    <n v="30"/>
    <s v="No"/>
  </r>
  <r>
    <n v="20430"/>
    <x v="0"/>
    <x v="1"/>
    <n v="70000"/>
    <n v="2"/>
    <s v="Partial College"/>
    <x v="0"/>
    <s v="Yes"/>
    <n v="2"/>
    <s v="5-10 Miles"/>
    <x v="1"/>
    <n v="52"/>
    <s v="Yes"/>
  </r>
  <r>
    <n v="27494"/>
    <x v="1"/>
    <x v="0"/>
    <n v="40000"/>
    <n v="2"/>
    <s v="Partial College"/>
    <x v="0"/>
    <s v="No"/>
    <n v="2"/>
    <s v="1-2 Miles"/>
    <x v="1"/>
    <n v="53"/>
    <s v="Yes"/>
  </r>
  <r>
    <n v="26829"/>
    <x v="0"/>
    <x v="0"/>
    <n v="40000"/>
    <n v="0"/>
    <s v="Bachelors"/>
    <x v="1"/>
    <s v="Yes"/>
    <n v="0"/>
    <s v="0-1 Miles"/>
    <x v="0"/>
    <n v="38"/>
    <s v="Yes"/>
  </r>
  <r>
    <n v="28395"/>
    <x v="1"/>
    <x v="1"/>
    <n v="40000"/>
    <n v="0"/>
    <s v="Bachelors"/>
    <x v="2"/>
    <s v="No"/>
    <n v="0"/>
    <s v="0-1 Miles"/>
    <x v="0"/>
    <n v="39"/>
    <s v="Yes"/>
  </r>
  <r>
    <n v="21006"/>
    <x v="1"/>
    <x v="0"/>
    <n v="30000"/>
    <n v="1"/>
    <s v="Partial College"/>
    <x v="3"/>
    <s v="No"/>
    <n v="0"/>
    <s v="0-1 Miles"/>
    <x v="0"/>
    <n v="46"/>
    <s v="Yes"/>
  </r>
  <r>
    <n v="14682"/>
    <x v="1"/>
    <x v="0"/>
    <n v="70000"/>
    <n v="0"/>
    <s v="Bachelors"/>
    <x v="2"/>
    <s v="No"/>
    <n v="1"/>
    <s v="5-10 Miles"/>
    <x v="1"/>
    <n v="38"/>
    <s v="No"/>
  </r>
  <r>
    <n v="17650"/>
    <x v="1"/>
    <x v="0"/>
    <n v="40000"/>
    <n v="2"/>
    <s v="Partial College"/>
    <x v="1"/>
    <s v="Yes"/>
    <n v="2"/>
    <s v="1-2 Miles"/>
    <x v="0"/>
    <n v="35"/>
    <s v="No"/>
  </r>
  <r>
    <n v="29191"/>
    <x v="1"/>
    <x v="0"/>
    <n v="130000"/>
    <n v="1"/>
    <s v="Graduate Degree"/>
    <x v="4"/>
    <s v="No"/>
    <n v="1"/>
    <s v="0-1 Miles"/>
    <x v="1"/>
    <n v="36"/>
    <s v="Yes"/>
  </r>
  <r>
    <n v="15030"/>
    <x v="0"/>
    <x v="1"/>
    <n v="20000"/>
    <n v="0"/>
    <s v="Bachelors"/>
    <x v="1"/>
    <s v="Yes"/>
    <n v="0"/>
    <s v="0-1 Miles"/>
    <x v="1"/>
    <n v="26"/>
    <s v="Yes"/>
  </r>
  <r>
    <n v="24140"/>
    <x v="1"/>
    <x v="1"/>
    <n v="10000"/>
    <n v="0"/>
    <s v="Graduate Degree"/>
    <x v="3"/>
    <s v="No"/>
    <n v="0"/>
    <s v="0-1 Miles"/>
    <x v="0"/>
    <n v="30"/>
    <s v="Yes"/>
  </r>
  <r>
    <n v="22496"/>
    <x v="0"/>
    <x v="0"/>
    <n v="30000"/>
    <n v="1"/>
    <s v="Bachelors"/>
    <x v="0"/>
    <s v="Yes"/>
    <n v="2"/>
    <s v="0-1 Miles"/>
    <x v="0"/>
    <n v="42"/>
    <s v="No"/>
  </r>
  <r>
    <n v="24065"/>
    <x v="1"/>
    <x v="0"/>
    <n v="20000"/>
    <n v="0"/>
    <s v="High School"/>
    <x v="3"/>
    <s v="Yes"/>
    <n v="0"/>
    <s v="0-1 Miles"/>
    <x v="0"/>
    <n v="40"/>
    <s v="Yes"/>
  </r>
  <r>
    <n v="19914"/>
    <x v="0"/>
    <x v="1"/>
    <n v="80000"/>
    <n v="5"/>
    <s v="Bachelors"/>
    <x v="4"/>
    <s v="Yes"/>
    <n v="2"/>
    <s v="2-5 Miles"/>
    <x v="0"/>
    <n v="62"/>
    <s v="No"/>
  </r>
  <r>
    <n v="12871"/>
    <x v="1"/>
    <x v="0"/>
    <n v="30000"/>
    <n v="0"/>
    <s v="Partial College"/>
    <x v="1"/>
    <s v="No"/>
    <n v="1"/>
    <s v="2-5 Miles"/>
    <x v="0"/>
    <n v="29"/>
    <s v="No"/>
  </r>
  <r>
    <n v="22988"/>
    <x v="0"/>
    <x v="0"/>
    <n v="40000"/>
    <n v="2"/>
    <s v="Bachelors"/>
    <x v="4"/>
    <s v="Yes"/>
    <n v="2"/>
    <s v="5-10 Miles"/>
    <x v="1"/>
    <n v="66"/>
    <s v="Yes"/>
  </r>
  <r>
    <n v="15922"/>
    <x v="0"/>
    <x v="1"/>
    <n v="150000"/>
    <n v="2"/>
    <s v="High School"/>
    <x v="2"/>
    <s v="Yes"/>
    <n v="4"/>
    <s v="0-1 Miles"/>
    <x v="0"/>
    <n v="48"/>
    <s v="No"/>
  </r>
  <r>
    <n v="12344"/>
    <x v="1"/>
    <x v="0"/>
    <n v="80000"/>
    <n v="0"/>
    <s v="Bachelors"/>
    <x v="2"/>
    <s v="No"/>
    <n v="3"/>
    <s v="10+ Miles"/>
    <x v="1"/>
    <n v="31"/>
    <s v="No"/>
  </r>
  <r>
    <n v="23627"/>
    <x v="1"/>
    <x v="0"/>
    <n v="100000"/>
    <n v="3"/>
    <s v="Partial College"/>
    <x v="4"/>
    <s v="No"/>
    <n v="4"/>
    <s v="5-10 Miles"/>
    <x v="0"/>
    <n v="56"/>
    <s v="No"/>
  </r>
  <r>
    <n v="27775"/>
    <x v="1"/>
    <x v="0"/>
    <n v="40000"/>
    <n v="0"/>
    <s v="Bachelors"/>
    <x v="1"/>
    <s v="No"/>
    <n v="0"/>
    <s v="0-1 Miles"/>
    <x v="0"/>
    <n v="38"/>
    <s v="Yes"/>
  </r>
  <r>
    <n v="29301"/>
    <x v="0"/>
    <x v="1"/>
    <n v="80000"/>
    <n v="5"/>
    <s v="Bachelors"/>
    <x v="2"/>
    <s v="Yes"/>
    <n v="4"/>
    <s v="1-2 Miles"/>
    <x v="1"/>
    <n v="40"/>
    <s v="No"/>
  </r>
  <r>
    <n v="12716"/>
    <x v="1"/>
    <x v="1"/>
    <n v="30000"/>
    <n v="0"/>
    <s v="Partial College"/>
    <x v="1"/>
    <s v="Yes"/>
    <n v="1"/>
    <s v="2-5 Miles"/>
    <x v="0"/>
    <n v="32"/>
    <s v="No"/>
  </r>
  <r>
    <n v="12472"/>
    <x v="0"/>
    <x v="1"/>
    <n v="30000"/>
    <n v="1"/>
    <s v="Bachelors"/>
    <x v="1"/>
    <s v="Yes"/>
    <n v="1"/>
    <s v="2-5 Miles"/>
    <x v="0"/>
    <n v="39"/>
    <s v="No"/>
  </r>
  <r>
    <n v="20970"/>
    <x v="1"/>
    <x v="1"/>
    <n v="10000"/>
    <n v="2"/>
    <s v="Partial College"/>
    <x v="3"/>
    <s v="Yes"/>
    <n v="1"/>
    <s v="0-1 Miles"/>
    <x v="0"/>
    <n v="52"/>
    <s v="Yes"/>
  </r>
  <r>
    <n v="26818"/>
    <x v="1"/>
    <x v="1"/>
    <n v="10000"/>
    <n v="3"/>
    <s v="High School"/>
    <x v="3"/>
    <s v="Yes"/>
    <n v="1"/>
    <s v="0-1 Miles"/>
    <x v="0"/>
    <n v="39"/>
    <s v="Yes"/>
  </r>
  <r>
    <n v="12993"/>
    <x v="0"/>
    <x v="1"/>
    <n v="60000"/>
    <n v="2"/>
    <s v="Bachelors"/>
    <x v="2"/>
    <s v="Yes"/>
    <n v="1"/>
    <s v="2-5 Miles"/>
    <x v="1"/>
    <n v="37"/>
    <s v="No"/>
  </r>
  <r>
    <n v="14192"/>
    <x v="0"/>
    <x v="1"/>
    <n v="90000"/>
    <n v="4"/>
    <s v="High School"/>
    <x v="4"/>
    <s v="Yes"/>
    <n v="3"/>
    <s v="5-10 Miles"/>
    <x v="0"/>
    <n v="56"/>
    <s v="Yes"/>
  </r>
  <r>
    <n v="19477"/>
    <x v="0"/>
    <x v="1"/>
    <n v="40000"/>
    <n v="0"/>
    <s v="Bachelors"/>
    <x v="2"/>
    <s v="Yes"/>
    <n v="0"/>
    <s v="0-1 Miles"/>
    <x v="0"/>
    <n v="40"/>
    <s v="Yes"/>
  </r>
  <r>
    <n v="26796"/>
    <x v="1"/>
    <x v="1"/>
    <n v="40000"/>
    <n v="2"/>
    <s v="Bachelors"/>
    <x v="4"/>
    <s v="Yes"/>
    <n v="2"/>
    <s v="5-10 Miles"/>
    <x v="1"/>
    <n v="65"/>
    <s v="Yes"/>
  </r>
  <r>
    <n v="21094"/>
    <x v="1"/>
    <x v="0"/>
    <n v="30000"/>
    <n v="2"/>
    <s v="Partial College"/>
    <x v="1"/>
    <s v="Yes"/>
    <n v="2"/>
    <s v="0-1 Miles"/>
    <x v="0"/>
    <n v="42"/>
    <s v="No"/>
  </r>
  <r>
    <n v="12234"/>
    <x v="0"/>
    <x v="1"/>
    <n v="10000"/>
    <n v="2"/>
    <s v="Partial College"/>
    <x v="3"/>
    <s v="Yes"/>
    <n v="1"/>
    <s v="2-5 Miles"/>
    <x v="0"/>
    <n v="52"/>
    <s v="No"/>
  </r>
  <r>
    <n v="28683"/>
    <x v="1"/>
    <x v="0"/>
    <n v="10000"/>
    <n v="1"/>
    <s v="High School"/>
    <x v="3"/>
    <s v="No"/>
    <n v="1"/>
    <s v="5-10 Miles"/>
    <x v="0"/>
    <n v="35"/>
    <s v="Yes"/>
  </r>
  <r>
    <n v="17994"/>
    <x v="1"/>
    <x v="1"/>
    <n v="20000"/>
    <n v="2"/>
    <s v="High School"/>
    <x v="3"/>
    <s v="Yes"/>
    <n v="2"/>
    <s v="0-1 Miles"/>
    <x v="0"/>
    <n v="42"/>
    <s v="No"/>
  </r>
  <r>
    <n v="24273"/>
    <x v="0"/>
    <x v="0"/>
    <n v="20000"/>
    <n v="2"/>
    <s v="Partial High School"/>
    <x v="1"/>
    <s v="Yes"/>
    <n v="2"/>
    <s v="5-10 Miles"/>
    <x v="1"/>
    <n v="55"/>
    <s v="Yes"/>
  </r>
  <r>
    <n v="26547"/>
    <x v="1"/>
    <x v="0"/>
    <n v="30000"/>
    <n v="2"/>
    <s v="Partial College"/>
    <x v="1"/>
    <s v="No"/>
    <n v="2"/>
    <s v="5-10 Miles"/>
    <x v="1"/>
    <n v="60"/>
    <s v="Yes"/>
  </r>
  <r>
    <n v="22500"/>
    <x v="1"/>
    <x v="1"/>
    <n v="40000"/>
    <n v="0"/>
    <s v="Bachelors"/>
    <x v="2"/>
    <s v="No"/>
    <n v="0"/>
    <s v="0-1 Miles"/>
    <x v="0"/>
    <n v="40"/>
    <s v="Yes"/>
  </r>
  <r>
    <n v="23993"/>
    <x v="1"/>
    <x v="0"/>
    <n v="10000"/>
    <n v="0"/>
    <s v="Partial College"/>
    <x v="3"/>
    <s v="No"/>
    <n v="1"/>
    <s v="0-1 Miles"/>
    <x v="1"/>
    <n v="26"/>
    <s v="Yes"/>
  </r>
  <r>
    <n v="14832"/>
    <x v="0"/>
    <x v="1"/>
    <n v="40000"/>
    <n v="1"/>
    <s v="Bachelors"/>
    <x v="0"/>
    <s v="Yes"/>
    <n v="0"/>
    <s v="0-1 Miles"/>
    <x v="0"/>
    <n v="42"/>
    <s v="Yes"/>
  </r>
  <r>
    <n v="16614"/>
    <x v="0"/>
    <x v="0"/>
    <n v="80000"/>
    <n v="0"/>
    <s v="Bachelors"/>
    <x v="2"/>
    <s v="Yes"/>
    <n v="3"/>
    <s v="10+ Miles"/>
    <x v="1"/>
    <n v="32"/>
    <s v="No"/>
  </r>
  <r>
    <n v="20877"/>
    <x v="1"/>
    <x v="1"/>
    <n v="30000"/>
    <n v="1"/>
    <s v="Bachelors"/>
    <x v="1"/>
    <s v="Yes"/>
    <n v="0"/>
    <s v="1-2 Miles"/>
    <x v="0"/>
    <n v="37"/>
    <s v="Yes"/>
  </r>
  <r>
    <n v="20729"/>
    <x v="0"/>
    <x v="0"/>
    <n v="40000"/>
    <n v="2"/>
    <s v="Partial College"/>
    <x v="1"/>
    <s v="No"/>
    <n v="1"/>
    <s v="0-1 Miles"/>
    <x v="0"/>
    <n v="34"/>
    <s v="No"/>
  </r>
  <r>
    <n v="22464"/>
    <x v="0"/>
    <x v="1"/>
    <n v="40000"/>
    <n v="0"/>
    <s v="Graduate Degree"/>
    <x v="1"/>
    <s v="Yes"/>
    <n v="0"/>
    <s v="0-1 Miles"/>
    <x v="0"/>
    <n v="37"/>
    <s v="Yes"/>
  </r>
  <r>
    <n v="19475"/>
    <x v="0"/>
    <x v="0"/>
    <n v="40000"/>
    <n v="0"/>
    <s v="Bachelors"/>
    <x v="2"/>
    <s v="No"/>
    <n v="0"/>
    <s v="0-1 Miles"/>
    <x v="0"/>
    <n v="40"/>
    <s v="Yes"/>
  </r>
  <r>
    <n v="19675"/>
    <x v="0"/>
    <x v="1"/>
    <n v="20000"/>
    <n v="4"/>
    <s v="High School"/>
    <x v="0"/>
    <s v="Yes"/>
    <n v="2"/>
    <s v="5-10 Miles"/>
    <x v="1"/>
    <n v="60"/>
    <s v="No"/>
  </r>
  <r>
    <n v="12728"/>
    <x v="1"/>
    <x v="1"/>
    <n v="30000"/>
    <n v="0"/>
    <s v="Partial College"/>
    <x v="1"/>
    <s v="No"/>
    <n v="1"/>
    <s v="1-2 Miles"/>
    <x v="0"/>
    <n v="27"/>
    <s v="No"/>
  </r>
  <r>
    <n v="26154"/>
    <x v="0"/>
    <x v="1"/>
    <n v="60000"/>
    <n v="1"/>
    <s v="Partial College"/>
    <x v="0"/>
    <s v="Yes"/>
    <n v="1"/>
    <s v="5-10 Miles"/>
    <x v="1"/>
    <n v="43"/>
    <s v="Yes"/>
  </r>
  <r>
    <n v="29117"/>
    <x v="1"/>
    <x v="1"/>
    <n v="100000"/>
    <n v="1"/>
    <s v="Bachelors"/>
    <x v="4"/>
    <s v="No"/>
    <n v="3"/>
    <s v="0-1 Miles"/>
    <x v="1"/>
    <n v="48"/>
    <s v="No"/>
  </r>
  <r>
    <n v="17845"/>
    <x v="1"/>
    <x v="0"/>
    <n v="20000"/>
    <n v="0"/>
    <s v="Partial High School"/>
    <x v="3"/>
    <s v="No"/>
    <n v="2"/>
    <s v="1-2 Miles"/>
    <x v="0"/>
    <n v="32"/>
    <s v="No"/>
  </r>
  <r>
    <n v="25058"/>
    <x v="0"/>
    <x v="1"/>
    <n v="100000"/>
    <n v="1"/>
    <s v="Bachelors"/>
    <x v="4"/>
    <s v="Yes"/>
    <n v="3"/>
    <s v="2-5 Miles"/>
    <x v="1"/>
    <n v="47"/>
    <s v="No"/>
  </r>
  <r>
    <n v="23426"/>
    <x v="1"/>
    <x v="1"/>
    <n v="80000"/>
    <n v="5"/>
    <s v="Graduate Degree"/>
    <x v="4"/>
    <s v="Yes"/>
    <n v="3"/>
    <s v="0-1 Miles"/>
    <x v="1"/>
    <n v="40"/>
    <s v="No"/>
  </r>
  <r>
    <n v="14798"/>
    <x v="1"/>
    <x v="0"/>
    <n v="10000"/>
    <n v="4"/>
    <s v="Partial High School"/>
    <x v="3"/>
    <s v="Yes"/>
    <n v="2"/>
    <s v="0-1 Miles"/>
    <x v="0"/>
    <n v="41"/>
    <s v="Yes"/>
  </r>
  <r>
    <n v="12664"/>
    <x v="0"/>
    <x v="0"/>
    <n v="130000"/>
    <n v="5"/>
    <s v="Partial College"/>
    <x v="2"/>
    <s v="Yes"/>
    <n v="4"/>
    <s v="0-1 Miles"/>
    <x v="0"/>
    <n v="59"/>
    <s v="No"/>
  </r>
  <r>
    <n v="23979"/>
    <x v="1"/>
    <x v="1"/>
    <n v="10000"/>
    <n v="2"/>
    <s v="Partial College"/>
    <x v="3"/>
    <s v="No"/>
    <n v="0"/>
    <s v="0-1 Miles"/>
    <x v="0"/>
    <n v="50"/>
    <s v="No"/>
  </r>
  <r>
    <n v="25605"/>
    <x v="1"/>
    <x v="0"/>
    <n v="20000"/>
    <n v="2"/>
    <s v="Partial College"/>
    <x v="3"/>
    <s v="No"/>
    <n v="1"/>
    <s v="0-1 Miles"/>
    <x v="0"/>
    <n v="54"/>
    <s v="Yes"/>
  </r>
  <r>
    <n v="20797"/>
    <x v="0"/>
    <x v="0"/>
    <n v="10000"/>
    <n v="1"/>
    <s v="Bachelors"/>
    <x v="3"/>
    <s v="Yes"/>
    <n v="0"/>
    <s v="0-1 Miles"/>
    <x v="0"/>
    <n v="48"/>
    <s v="No"/>
  </r>
  <r>
    <n v="21980"/>
    <x v="1"/>
    <x v="0"/>
    <n v="60000"/>
    <n v="1"/>
    <s v="Bachelors"/>
    <x v="2"/>
    <s v="Yes"/>
    <n v="1"/>
    <s v="5-10 Miles"/>
    <x v="1"/>
    <n v="44"/>
    <s v="Yes"/>
  </r>
  <r>
    <n v="25460"/>
    <x v="0"/>
    <x v="0"/>
    <n v="20000"/>
    <n v="2"/>
    <s v="High School"/>
    <x v="3"/>
    <s v="Yes"/>
    <n v="0"/>
    <s v="0-1 Miles"/>
    <x v="0"/>
    <n v="40"/>
    <s v="Yes"/>
  </r>
  <r>
    <n v="29181"/>
    <x v="1"/>
    <x v="0"/>
    <n v="60000"/>
    <n v="2"/>
    <s v="Bachelors"/>
    <x v="2"/>
    <s v="No"/>
    <n v="1"/>
    <s v="0-1 Miles"/>
    <x v="1"/>
    <n v="38"/>
    <s v="Yes"/>
  </r>
  <r>
    <n v="24279"/>
    <x v="1"/>
    <x v="1"/>
    <n v="40000"/>
    <n v="2"/>
    <s v="Partial College"/>
    <x v="0"/>
    <s v="No"/>
    <n v="2"/>
    <s v="1-2 Miles"/>
    <x v="1"/>
    <n v="52"/>
    <s v="No"/>
  </r>
  <r>
    <n v="22402"/>
    <x v="0"/>
    <x v="1"/>
    <n v="10000"/>
    <n v="0"/>
    <s v="Partial College"/>
    <x v="3"/>
    <s v="Yes"/>
    <n v="1"/>
    <s v="2-5 Miles"/>
    <x v="1"/>
    <n v="25"/>
    <s v="Yes"/>
  </r>
  <r>
    <n v="15465"/>
    <x v="0"/>
    <x v="0"/>
    <n v="10000"/>
    <n v="0"/>
    <s v="Partial College"/>
    <x v="3"/>
    <s v="No"/>
    <n v="1"/>
    <s v="0-1 Miles"/>
    <x v="1"/>
    <n v="25"/>
    <s v="No"/>
  </r>
  <r>
    <n v="26757"/>
    <x v="1"/>
    <x v="1"/>
    <n v="90000"/>
    <n v="1"/>
    <s v="Bachelors"/>
    <x v="2"/>
    <s v="Yes"/>
    <n v="1"/>
    <s v="2-5 Miles"/>
    <x v="1"/>
    <n v="47"/>
    <s v="Yes"/>
  </r>
  <r>
    <n v="14233"/>
    <x v="1"/>
    <x v="1"/>
    <n v="100000"/>
    <n v="0"/>
    <s v="High School"/>
    <x v="4"/>
    <s v="Yes"/>
    <n v="3"/>
    <s v="10+ Miles"/>
    <x v="1"/>
    <n v="35"/>
    <s v="No"/>
  </r>
  <r>
    <n v="14058"/>
    <x v="1"/>
    <x v="1"/>
    <n v="70000"/>
    <n v="0"/>
    <s v="Bachelors"/>
    <x v="2"/>
    <s v="No"/>
    <n v="1"/>
    <s v="5-10 Miles"/>
    <x v="1"/>
    <n v="41"/>
    <s v="Yes"/>
  </r>
  <r>
    <n v="12273"/>
    <x v="0"/>
    <x v="1"/>
    <n v="30000"/>
    <n v="1"/>
    <s v="Bachelors"/>
    <x v="1"/>
    <s v="Yes"/>
    <n v="0"/>
    <s v="0-1 Miles"/>
    <x v="0"/>
    <n v="47"/>
    <s v="No"/>
  </r>
  <r>
    <n v="17203"/>
    <x v="0"/>
    <x v="0"/>
    <n v="130000"/>
    <n v="4"/>
    <s v="Partial College"/>
    <x v="2"/>
    <s v="Yes"/>
    <n v="4"/>
    <s v="5-10 Miles"/>
    <x v="0"/>
    <n v="61"/>
    <s v="Yes"/>
  </r>
  <r>
    <n v="18144"/>
    <x v="0"/>
    <x v="0"/>
    <n v="80000"/>
    <n v="5"/>
    <s v="Bachelors"/>
    <x v="4"/>
    <s v="Yes"/>
    <n v="2"/>
    <s v="2-5 Miles"/>
    <x v="0"/>
    <n v="61"/>
    <s v="No"/>
  </r>
  <r>
    <n v="23963"/>
    <x v="0"/>
    <x v="1"/>
    <n v="10000"/>
    <n v="0"/>
    <s v="Partial High School"/>
    <x v="3"/>
    <s v="No"/>
    <n v="2"/>
    <s v="0-1 Miles"/>
    <x v="0"/>
    <n v="33"/>
    <s v="No"/>
  </r>
  <r>
    <n v="17907"/>
    <x v="0"/>
    <x v="0"/>
    <n v="10000"/>
    <n v="0"/>
    <s v="Partial College"/>
    <x v="3"/>
    <s v="Yes"/>
    <n v="1"/>
    <s v="2-5 Miles"/>
    <x v="1"/>
    <n v="27"/>
    <s v="No"/>
  </r>
  <r>
    <n v="19442"/>
    <x v="1"/>
    <x v="1"/>
    <n v="50000"/>
    <n v="0"/>
    <s v="Graduate Degree"/>
    <x v="0"/>
    <s v="Yes"/>
    <n v="0"/>
    <s v="0-1 Miles"/>
    <x v="0"/>
    <n v="37"/>
    <s v="Yes"/>
  </r>
  <r>
    <n v="17504"/>
    <x v="1"/>
    <x v="0"/>
    <n v="80000"/>
    <n v="2"/>
    <s v="Partial College"/>
    <x v="0"/>
    <s v="Yes"/>
    <n v="2"/>
    <s v="5-10 Miles"/>
    <x v="1"/>
    <n v="52"/>
    <s v="Yes"/>
  </r>
  <r>
    <n v="12253"/>
    <x v="1"/>
    <x v="0"/>
    <n v="20000"/>
    <n v="0"/>
    <s v="Partial College"/>
    <x v="3"/>
    <s v="Yes"/>
    <n v="0"/>
    <s v="0-1 Miles"/>
    <x v="1"/>
    <n v="29"/>
    <s v="Yes"/>
  </r>
  <r>
    <n v="27304"/>
    <x v="1"/>
    <x v="0"/>
    <n v="110000"/>
    <n v="2"/>
    <s v="Partial College"/>
    <x v="2"/>
    <s v="No"/>
    <n v="3"/>
    <s v="5-10 Miles"/>
    <x v="0"/>
    <n v="48"/>
    <s v="No"/>
  </r>
  <r>
    <n v="14191"/>
    <x v="0"/>
    <x v="1"/>
    <n v="160000"/>
    <n v="4"/>
    <s v="Partial College"/>
    <x v="2"/>
    <s v="No"/>
    <n v="2"/>
    <s v="10+ Miles"/>
    <x v="0"/>
    <n v="55"/>
    <s v="Yes"/>
  </r>
  <r>
    <n v="12212"/>
    <x v="0"/>
    <x v="0"/>
    <n v="10000"/>
    <n v="0"/>
    <s v="Graduate Degree"/>
    <x v="3"/>
    <s v="Yes"/>
    <n v="0"/>
    <s v="0-1 Miles"/>
    <x v="0"/>
    <n v="37"/>
    <s v="Yes"/>
  </r>
  <r>
    <n v="25529"/>
    <x v="1"/>
    <x v="1"/>
    <n v="10000"/>
    <n v="1"/>
    <s v="Graduate Degree"/>
    <x v="3"/>
    <s v="Yes"/>
    <n v="0"/>
    <s v="0-1 Miles"/>
    <x v="0"/>
    <n v="44"/>
    <s v="No"/>
  </r>
  <r>
    <n v="22170"/>
    <x v="0"/>
    <x v="0"/>
    <n v="30000"/>
    <n v="3"/>
    <s v="Partial College"/>
    <x v="1"/>
    <s v="No"/>
    <n v="2"/>
    <s v="1-2 Miles"/>
    <x v="1"/>
    <n v="55"/>
    <s v="Yes"/>
  </r>
  <r>
    <n v="19445"/>
    <x v="0"/>
    <x v="0"/>
    <n v="10000"/>
    <n v="2"/>
    <s v="High School"/>
    <x v="3"/>
    <s v="No"/>
    <n v="1"/>
    <s v="0-1 Miles"/>
    <x v="0"/>
    <n v="38"/>
    <s v="No"/>
  </r>
  <r>
    <n v="15265"/>
    <x v="1"/>
    <x v="1"/>
    <n v="40000"/>
    <n v="2"/>
    <s v="Bachelors"/>
    <x v="4"/>
    <s v="Yes"/>
    <n v="2"/>
    <s v="5-10 Miles"/>
    <x v="1"/>
    <n v="66"/>
    <s v="Yes"/>
  </r>
  <r>
    <n v="28918"/>
    <x v="0"/>
    <x v="0"/>
    <n v="130000"/>
    <n v="4"/>
    <s v="High School"/>
    <x v="4"/>
    <s v="No"/>
    <n v="4"/>
    <s v="10+ Miles"/>
    <x v="0"/>
    <n v="58"/>
    <s v="No"/>
  </r>
  <r>
    <n v="15799"/>
    <x v="0"/>
    <x v="0"/>
    <n v="90000"/>
    <n v="1"/>
    <s v="Bachelors"/>
    <x v="2"/>
    <s v="Yes"/>
    <n v="1"/>
    <s v="2-5 Miles"/>
    <x v="1"/>
    <n v="47"/>
    <s v="Yes"/>
  </r>
  <r>
    <n v="11047"/>
    <x v="0"/>
    <x v="0"/>
    <n v="30000"/>
    <n v="3"/>
    <s v="High School"/>
    <x v="0"/>
    <s v="No"/>
    <n v="2"/>
    <s v="1-2 Miles"/>
    <x v="1"/>
    <n v="56"/>
    <s v="Yes"/>
  </r>
  <r>
    <n v="18151"/>
    <x v="1"/>
    <x v="1"/>
    <n v="80000"/>
    <n v="5"/>
    <s v="Partial College"/>
    <x v="2"/>
    <s v="No"/>
    <n v="2"/>
    <s v="10+ Miles"/>
    <x v="0"/>
    <n v="59"/>
    <s v="No"/>
  </r>
  <r>
    <n v="20606"/>
    <x v="0"/>
    <x v="0"/>
    <n v="70000"/>
    <n v="0"/>
    <s v="Bachelors"/>
    <x v="2"/>
    <s v="Yes"/>
    <n v="4"/>
    <s v="10+ Miles"/>
    <x v="1"/>
    <n v="32"/>
    <s v="Yes"/>
  </r>
  <r>
    <n v="19482"/>
    <x v="0"/>
    <x v="1"/>
    <n v="30000"/>
    <n v="1"/>
    <s v="Partial College"/>
    <x v="1"/>
    <s v="Yes"/>
    <n v="1"/>
    <s v="0-1 Miles"/>
    <x v="0"/>
    <n v="44"/>
    <s v="Yes"/>
  </r>
  <r>
    <n v="16489"/>
    <x v="0"/>
    <x v="1"/>
    <n v="30000"/>
    <n v="3"/>
    <s v="High School"/>
    <x v="0"/>
    <s v="Yes"/>
    <n v="2"/>
    <s v="5-10 Miles"/>
    <x v="1"/>
    <n v="55"/>
    <s v="No"/>
  </r>
  <r>
    <n v="26944"/>
    <x v="1"/>
    <x v="1"/>
    <n v="90000"/>
    <n v="2"/>
    <s v="High School"/>
    <x v="3"/>
    <s v="Yes"/>
    <n v="0"/>
    <s v="0-1 Miles"/>
    <x v="0"/>
    <n v="36"/>
    <s v="Yes"/>
  </r>
  <r>
    <n v="15682"/>
    <x v="1"/>
    <x v="0"/>
    <n v="80000"/>
    <n v="5"/>
    <s v="Bachelors"/>
    <x v="4"/>
    <s v="Yes"/>
    <n v="2"/>
    <s v="10+ Miles"/>
    <x v="0"/>
    <n v="62"/>
    <s v="No"/>
  </r>
  <r>
    <n v="26032"/>
    <x v="0"/>
    <x v="0"/>
    <n v="70000"/>
    <n v="5"/>
    <s v="Bachelors"/>
    <x v="2"/>
    <s v="Yes"/>
    <n v="4"/>
    <s v="10+ Miles"/>
    <x v="1"/>
    <n v="41"/>
    <s v="No"/>
  </r>
  <r>
    <n v="17843"/>
    <x v="1"/>
    <x v="0"/>
    <n v="10000"/>
    <n v="0"/>
    <s v="Partial High School"/>
    <x v="3"/>
    <s v="No"/>
    <n v="2"/>
    <s v="0-1 Miles"/>
    <x v="0"/>
    <n v="32"/>
    <s v="No"/>
  </r>
  <r>
    <n v="25559"/>
    <x v="1"/>
    <x v="1"/>
    <n v="20000"/>
    <n v="0"/>
    <s v="Bachelors"/>
    <x v="1"/>
    <s v="Yes"/>
    <n v="0"/>
    <s v="0-1 Miles"/>
    <x v="1"/>
    <n v="25"/>
    <s v="Yes"/>
  </r>
  <r>
    <n v="16209"/>
    <x v="1"/>
    <x v="0"/>
    <n v="50000"/>
    <n v="0"/>
    <s v="Graduate Degree"/>
    <x v="0"/>
    <s v="Yes"/>
    <n v="0"/>
    <s v="1-2 Miles"/>
    <x v="0"/>
    <n v="36"/>
    <s v="No"/>
  </r>
  <r>
    <n v="11147"/>
    <x v="0"/>
    <x v="1"/>
    <n v="60000"/>
    <n v="2"/>
    <s v="Graduate Degree"/>
    <x v="4"/>
    <s v="Yes"/>
    <n v="1"/>
    <s v="0-1 Miles"/>
    <x v="1"/>
    <n v="67"/>
    <s v="Yes"/>
  </r>
  <r>
    <n v="15214"/>
    <x v="1"/>
    <x v="0"/>
    <n v="100000"/>
    <n v="0"/>
    <s v="Graduate Degree"/>
    <x v="4"/>
    <s v="No"/>
    <n v="1"/>
    <s v="1-2 Miles"/>
    <x v="1"/>
    <n v="39"/>
    <s v="Yes"/>
  </r>
  <r>
    <n v="11453"/>
    <x v="1"/>
    <x v="1"/>
    <n v="80000"/>
    <n v="0"/>
    <s v="Bachelors"/>
    <x v="2"/>
    <s v="No"/>
    <n v="3"/>
    <s v="10+ Miles"/>
    <x v="1"/>
    <n v="33"/>
    <s v="Yes"/>
  </r>
  <r>
    <n v="24584"/>
    <x v="1"/>
    <x v="1"/>
    <n v="60000"/>
    <n v="0"/>
    <s v="Bachelors"/>
    <x v="2"/>
    <s v="No"/>
    <n v="3"/>
    <s v="2-5 Miles"/>
    <x v="1"/>
    <n v="31"/>
    <s v="No"/>
  </r>
  <r>
    <n v="12585"/>
    <x v="0"/>
    <x v="1"/>
    <n v="10000"/>
    <n v="1"/>
    <s v="High School"/>
    <x v="3"/>
    <s v="Yes"/>
    <n v="0"/>
    <s v="2-5 Miles"/>
    <x v="1"/>
    <n v="27"/>
    <s v="Yes"/>
  </r>
  <r>
    <n v="18626"/>
    <x v="1"/>
    <x v="1"/>
    <n v="40000"/>
    <n v="2"/>
    <s v="Partial College"/>
    <x v="1"/>
    <s v="Yes"/>
    <n v="0"/>
    <s v="1-2 Miles"/>
    <x v="0"/>
    <n v="33"/>
    <s v="Yes"/>
  </r>
  <r>
    <n v="29298"/>
    <x v="1"/>
    <x v="0"/>
    <n v="60000"/>
    <n v="1"/>
    <s v="Partial College"/>
    <x v="0"/>
    <s v="Yes"/>
    <n v="1"/>
    <s v="5-10 Miles"/>
    <x v="1"/>
    <n v="46"/>
    <s v="Yes"/>
  </r>
  <r>
    <n v="24842"/>
    <x v="1"/>
    <x v="0"/>
    <n v="90000"/>
    <n v="3"/>
    <s v="High School"/>
    <x v="2"/>
    <s v="No"/>
    <n v="1"/>
    <s v="2-5 Miles"/>
    <x v="0"/>
    <n v="51"/>
    <s v="No"/>
  </r>
  <r>
    <n v="15657"/>
    <x v="0"/>
    <x v="1"/>
    <n v="30000"/>
    <n v="3"/>
    <s v="Graduate Degree"/>
    <x v="1"/>
    <s v="Yes"/>
    <n v="0"/>
    <s v="0-1 Miles"/>
    <x v="0"/>
    <n v="46"/>
    <s v="Yes"/>
  </r>
  <r>
    <n v="11415"/>
    <x v="1"/>
    <x v="1"/>
    <n v="90000"/>
    <n v="5"/>
    <s v="Partial College"/>
    <x v="2"/>
    <s v="No"/>
    <n v="2"/>
    <s v="10+ Miles"/>
    <x v="0"/>
    <n v="62"/>
    <s v="No"/>
  </r>
  <r>
    <n v="28729"/>
    <x v="1"/>
    <x v="0"/>
    <n v="20000"/>
    <n v="0"/>
    <s v="Partial High School"/>
    <x v="3"/>
    <s v="Yes"/>
    <n v="2"/>
    <s v="1-2 Miles"/>
    <x v="0"/>
    <n v="26"/>
    <s v="Yes"/>
  </r>
  <r>
    <n v="22633"/>
    <x v="1"/>
    <x v="0"/>
    <n v="40000"/>
    <n v="0"/>
    <s v="Graduate Degree"/>
    <x v="1"/>
    <s v="Yes"/>
    <n v="0"/>
    <s v="0-1 Miles"/>
    <x v="0"/>
    <n v="37"/>
    <s v="Yes"/>
  </r>
  <r>
    <n v="25649"/>
    <x v="1"/>
    <x v="0"/>
    <n v="30000"/>
    <n v="3"/>
    <s v="Partial College"/>
    <x v="1"/>
    <s v="Yes"/>
    <n v="0"/>
    <s v="0-1 Miles"/>
    <x v="0"/>
    <n v="42"/>
    <s v="Yes"/>
  </r>
  <r>
    <n v="14669"/>
    <x v="0"/>
    <x v="0"/>
    <n v="80000"/>
    <n v="4"/>
    <s v="Graduate Degree"/>
    <x v="4"/>
    <s v="Yes"/>
    <n v="1"/>
    <s v="0-1 Miles"/>
    <x v="1"/>
    <n v="36"/>
    <s v="No"/>
  </r>
  <r>
    <n v="19299"/>
    <x v="0"/>
    <x v="0"/>
    <n v="50000"/>
    <n v="0"/>
    <s v="Graduate Degree"/>
    <x v="0"/>
    <s v="Yes"/>
    <n v="0"/>
    <s v="0-1 Miles"/>
    <x v="0"/>
    <n v="36"/>
    <s v="Yes"/>
  </r>
  <r>
    <n v="20946"/>
    <x v="1"/>
    <x v="0"/>
    <n v="30000"/>
    <n v="0"/>
    <s v="Partial College"/>
    <x v="1"/>
    <s v="No"/>
    <n v="1"/>
    <s v="2-5 Miles"/>
    <x v="0"/>
    <n v="30"/>
    <s v="No"/>
  </r>
  <r>
    <n v="11451"/>
    <x v="1"/>
    <x v="1"/>
    <n v="70000"/>
    <n v="0"/>
    <s v="Bachelors"/>
    <x v="2"/>
    <s v="No"/>
    <n v="4"/>
    <s v="10+ Miles"/>
    <x v="1"/>
    <n v="31"/>
    <s v="Yes"/>
  </r>
  <r>
    <n v="25553"/>
    <x v="0"/>
    <x v="1"/>
    <n v="30000"/>
    <n v="1"/>
    <s v="Bachelors"/>
    <x v="1"/>
    <s v="Yes"/>
    <n v="0"/>
    <s v="0-1 Miles"/>
    <x v="0"/>
    <n v="65"/>
    <s v="Yes"/>
  </r>
  <r>
    <n v="27951"/>
    <x v="1"/>
    <x v="1"/>
    <n v="80000"/>
    <n v="4"/>
    <s v="Partial College"/>
    <x v="2"/>
    <s v="No"/>
    <n v="2"/>
    <s v="2-5 Miles"/>
    <x v="0"/>
    <n v="54"/>
    <s v="Yes"/>
  </r>
  <r>
    <n v="25026"/>
    <x v="0"/>
    <x v="1"/>
    <n v="20000"/>
    <n v="2"/>
    <s v="Partial High School"/>
    <x v="1"/>
    <s v="Yes"/>
    <n v="3"/>
    <s v="5-10 Miles"/>
    <x v="1"/>
    <n v="54"/>
    <s v="No"/>
  </r>
  <r>
    <n v="13673"/>
    <x v="1"/>
    <x v="0"/>
    <n v="20000"/>
    <n v="0"/>
    <s v="Partial High School"/>
    <x v="3"/>
    <s v="No"/>
    <n v="2"/>
    <s v="0-1 Miles"/>
    <x v="0"/>
    <n v="25"/>
    <s v="No"/>
  </r>
  <r>
    <n v="16043"/>
    <x v="1"/>
    <x v="1"/>
    <n v="10000"/>
    <n v="1"/>
    <s v="Bachelors"/>
    <x v="3"/>
    <s v="Yes"/>
    <n v="0"/>
    <s v="0-1 Miles"/>
    <x v="0"/>
    <n v="48"/>
    <s v="No"/>
  </r>
  <r>
    <n v="22399"/>
    <x v="1"/>
    <x v="1"/>
    <n v="10000"/>
    <n v="0"/>
    <s v="Partial College"/>
    <x v="3"/>
    <s v="Yes"/>
    <n v="1"/>
    <s v="1-2 Miles"/>
    <x v="1"/>
    <n v="26"/>
    <s v="Yes"/>
  </r>
  <r>
    <n v="27696"/>
    <x v="0"/>
    <x v="1"/>
    <n v="60000"/>
    <n v="1"/>
    <s v="Bachelors"/>
    <x v="2"/>
    <s v="Yes"/>
    <n v="1"/>
    <s v="5-10 Miles"/>
    <x v="1"/>
    <n v="43"/>
    <s v="Yes"/>
  </r>
  <r>
    <n v="25313"/>
    <x v="1"/>
    <x v="1"/>
    <n v="10000"/>
    <n v="0"/>
    <s v="Partial High School"/>
    <x v="3"/>
    <s v="No"/>
    <n v="2"/>
    <s v="1-2 Miles"/>
    <x v="0"/>
    <n v="35"/>
    <s v="No"/>
  </r>
  <r>
    <n v="13813"/>
    <x v="0"/>
    <x v="0"/>
    <n v="30000"/>
    <n v="3"/>
    <s v="Partial College"/>
    <x v="1"/>
    <s v="No"/>
    <n v="0"/>
    <s v="0-1 Miles"/>
    <x v="0"/>
    <n v="42"/>
    <s v="No"/>
  </r>
  <r>
    <n v="18711"/>
    <x v="1"/>
    <x v="0"/>
    <n v="70000"/>
    <n v="5"/>
    <s v="Bachelors"/>
    <x v="2"/>
    <s v="Yes"/>
    <n v="4"/>
    <s v="10+ Miles"/>
    <x v="1"/>
    <n v="39"/>
    <s v="No"/>
  </r>
  <r>
    <n v="19650"/>
    <x v="0"/>
    <x v="0"/>
    <n v="30000"/>
    <n v="2"/>
    <s v="Partial College"/>
    <x v="1"/>
    <s v="No"/>
    <n v="2"/>
    <s v="0-1 Miles"/>
    <x v="1"/>
    <n v="67"/>
    <s v="No"/>
  </r>
  <r>
    <n v="14135"/>
    <x v="0"/>
    <x v="1"/>
    <n v="20000"/>
    <n v="1"/>
    <s v="Partial College"/>
    <x v="3"/>
    <s v="Yes"/>
    <n v="0"/>
    <s v="1-2 Miles"/>
    <x v="0"/>
    <n v="35"/>
    <s v="No"/>
  </r>
  <r>
    <n v="12833"/>
    <x v="1"/>
    <x v="0"/>
    <n v="20000"/>
    <n v="3"/>
    <s v="High School"/>
    <x v="3"/>
    <s v="Yes"/>
    <n v="1"/>
    <s v="0-1 Miles"/>
    <x v="0"/>
    <n v="42"/>
    <s v="Yes"/>
  </r>
  <r>
    <n v="26849"/>
    <x v="0"/>
    <x v="1"/>
    <n v="10000"/>
    <n v="3"/>
    <s v="Partial High School"/>
    <x v="3"/>
    <s v="Yes"/>
    <n v="2"/>
    <s v="0-1 Miles"/>
    <x v="0"/>
    <n v="43"/>
    <s v="No"/>
  </r>
  <r>
    <n v="20962"/>
    <x v="0"/>
    <x v="0"/>
    <n v="20000"/>
    <n v="1"/>
    <s v="Graduate Degree"/>
    <x v="1"/>
    <s v="Yes"/>
    <n v="0"/>
    <s v="0-1 Miles"/>
    <x v="0"/>
    <n v="45"/>
    <s v="No"/>
  </r>
  <r>
    <n v="28915"/>
    <x v="1"/>
    <x v="1"/>
    <n v="80000"/>
    <n v="5"/>
    <s v="High School"/>
    <x v="4"/>
    <s v="Yes"/>
    <n v="3"/>
    <s v="10+ Miles"/>
    <x v="0"/>
    <n v="57"/>
    <s v="No"/>
  </r>
  <r>
    <n v="22830"/>
    <x v="0"/>
    <x v="1"/>
    <n v="120000"/>
    <n v="4"/>
    <s v="Partial College"/>
    <x v="4"/>
    <s v="Yes"/>
    <n v="3"/>
    <s v="10+ Miles"/>
    <x v="0"/>
    <n v="56"/>
    <s v="No"/>
  </r>
  <r>
    <n v="14777"/>
    <x v="0"/>
    <x v="0"/>
    <n v="40000"/>
    <n v="0"/>
    <s v="Bachelors"/>
    <x v="1"/>
    <s v="Yes"/>
    <n v="0"/>
    <s v="0-1 Miles"/>
    <x v="0"/>
    <n v="38"/>
    <s v="Yes"/>
  </r>
  <r>
    <n v="12591"/>
    <x v="0"/>
    <x v="0"/>
    <n v="30000"/>
    <n v="4"/>
    <s v="Graduate Degree"/>
    <x v="1"/>
    <s v="Yes"/>
    <n v="0"/>
    <s v="0-1 Miles"/>
    <x v="0"/>
    <n v="45"/>
    <s v="No"/>
  </r>
  <r>
    <n v="24174"/>
    <x v="0"/>
    <x v="1"/>
    <n v="20000"/>
    <n v="0"/>
    <s v="Bachelors"/>
    <x v="1"/>
    <s v="Yes"/>
    <n v="0"/>
    <s v="0-1 Miles"/>
    <x v="1"/>
    <n v="27"/>
    <s v="Yes"/>
  </r>
  <r>
    <n v="24611"/>
    <x v="1"/>
    <x v="1"/>
    <n v="90000"/>
    <n v="0"/>
    <s v="Bachelors"/>
    <x v="2"/>
    <s v="No"/>
    <n v="4"/>
    <s v="10+ Miles"/>
    <x v="1"/>
    <n v="35"/>
    <s v="Yes"/>
  </r>
  <r>
    <n v="11340"/>
    <x v="0"/>
    <x v="0"/>
    <n v="10000"/>
    <n v="1"/>
    <s v="Graduate Degree"/>
    <x v="1"/>
    <s v="Yes"/>
    <n v="0"/>
    <s v="0-1 Miles"/>
    <x v="0"/>
    <n v="70"/>
    <s v="Yes"/>
  </r>
  <r>
    <n v="25693"/>
    <x v="1"/>
    <x v="0"/>
    <n v="30000"/>
    <n v="5"/>
    <s v="Graduate Degree"/>
    <x v="1"/>
    <s v="Yes"/>
    <n v="0"/>
    <s v="0-1 Miles"/>
    <x v="0"/>
    <n v="44"/>
    <s v="Yes"/>
  </r>
  <r>
    <n v="25555"/>
    <x v="0"/>
    <x v="0"/>
    <n v="10000"/>
    <n v="0"/>
    <s v="Partial College"/>
    <x v="3"/>
    <s v="No"/>
    <n v="1"/>
    <s v="0-1 Miles"/>
    <x v="1"/>
    <n v="26"/>
    <s v="Yes"/>
  </r>
  <r>
    <n v="22006"/>
    <x v="0"/>
    <x v="1"/>
    <n v="70000"/>
    <n v="5"/>
    <s v="Partial College"/>
    <x v="0"/>
    <s v="Yes"/>
    <n v="3"/>
    <s v="5-10 Miles"/>
    <x v="1"/>
    <n v="46"/>
    <s v="No"/>
  </r>
  <r>
    <n v="20060"/>
    <x v="1"/>
    <x v="0"/>
    <n v="30000"/>
    <n v="0"/>
    <s v="High School"/>
    <x v="3"/>
    <s v="No"/>
    <n v="1"/>
    <s v="2-5 Miles"/>
    <x v="0"/>
    <n v="34"/>
    <s v="Yes"/>
  </r>
  <r>
    <n v="17702"/>
    <x v="0"/>
    <x v="1"/>
    <n v="10000"/>
    <n v="1"/>
    <s v="Graduate Degree"/>
    <x v="3"/>
    <s v="Yes"/>
    <n v="0"/>
    <s v="0-1 Miles"/>
    <x v="0"/>
    <n v="37"/>
    <s v="No"/>
  </r>
  <r>
    <n v="12503"/>
    <x v="1"/>
    <x v="0"/>
    <n v="30000"/>
    <n v="3"/>
    <s v="Partial College"/>
    <x v="1"/>
    <s v="Yes"/>
    <n v="2"/>
    <s v="0-1 Miles"/>
    <x v="0"/>
    <n v="27"/>
    <s v="No"/>
  </r>
  <r>
    <n v="23908"/>
    <x v="1"/>
    <x v="1"/>
    <n v="30000"/>
    <n v="1"/>
    <s v="Bachelors"/>
    <x v="1"/>
    <s v="No"/>
    <n v="1"/>
    <s v="0-1 Miles"/>
    <x v="0"/>
    <n v="39"/>
    <s v="Yes"/>
  </r>
  <r>
    <n v="22527"/>
    <x v="1"/>
    <x v="0"/>
    <n v="20000"/>
    <n v="0"/>
    <s v="High School"/>
    <x v="3"/>
    <s v="No"/>
    <n v="1"/>
    <s v="2-5 Miles"/>
    <x v="0"/>
    <n v="29"/>
    <s v="No"/>
  </r>
  <r>
    <n v="19057"/>
    <x v="0"/>
    <x v="0"/>
    <n v="120000"/>
    <n v="3"/>
    <s v="Bachelors"/>
    <x v="4"/>
    <s v="No"/>
    <n v="2"/>
    <s v="10+ Miles"/>
    <x v="0"/>
    <n v="52"/>
    <s v="Yes"/>
  </r>
  <r>
    <n v="18494"/>
    <x v="0"/>
    <x v="1"/>
    <n v="110000"/>
    <n v="5"/>
    <s v="Bachelors"/>
    <x v="4"/>
    <s v="Yes"/>
    <n v="4"/>
    <s v="2-5 Miles"/>
    <x v="1"/>
    <n v="48"/>
    <s v="Yes"/>
  </r>
  <r>
    <n v="11249"/>
    <x v="0"/>
    <x v="0"/>
    <n v="130000"/>
    <n v="3"/>
    <s v="Partial College"/>
    <x v="2"/>
    <s v="Yes"/>
    <n v="3"/>
    <s v="0-1 Miles"/>
    <x v="0"/>
    <n v="51"/>
    <s v="Yes"/>
  </r>
  <r>
    <n v="21568"/>
    <x v="0"/>
    <x v="0"/>
    <n v="100000"/>
    <n v="0"/>
    <s v="High School"/>
    <x v="4"/>
    <s v="Yes"/>
    <n v="4"/>
    <s v="10+ Miles"/>
    <x v="1"/>
    <n v="34"/>
    <s v="Yes"/>
  </r>
  <r>
    <n v="13981"/>
    <x v="0"/>
    <x v="0"/>
    <n v="10000"/>
    <n v="5"/>
    <s v="High School"/>
    <x v="0"/>
    <s v="No"/>
    <n v="3"/>
    <s v="1-2 Miles"/>
    <x v="1"/>
    <n v="62"/>
    <s v="No"/>
  </r>
  <r>
    <n v="23432"/>
    <x v="1"/>
    <x v="1"/>
    <n v="70000"/>
    <n v="0"/>
    <s v="Bachelors"/>
    <x v="2"/>
    <s v="Yes"/>
    <n v="1"/>
    <s v="5-10 Miles"/>
    <x v="1"/>
    <n v="37"/>
    <s v="Yes"/>
  </r>
  <r>
    <n v="22931"/>
    <x v="0"/>
    <x v="1"/>
    <n v="100000"/>
    <n v="5"/>
    <s v="Graduate Degree"/>
    <x v="4"/>
    <s v="No"/>
    <n v="1"/>
    <s v="1-2 Miles"/>
    <x v="1"/>
    <n v="78"/>
    <s v="Yes"/>
  </r>
  <r>
    <n v="18172"/>
    <x v="0"/>
    <x v="1"/>
    <n v="130000"/>
    <n v="4"/>
    <s v="High School"/>
    <x v="2"/>
    <s v="Yes"/>
    <n v="3"/>
    <s v="0-1 Miles"/>
    <x v="0"/>
    <n v="55"/>
    <s v="No"/>
  </r>
  <r>
    <n v="12666"/>
    <x v="1"/>
    <x v="1"/>
    <n v="60000"/>
    <n v="0"/>
    <s v="Bachelors"/>
    <x v="2"/>
    <s v="No"/>
    <n v="4"/>
    <s v="2-5 Miles"/>
    <x v="1"/>
    <n v="31"/>
    <s v="No"/>
  </r>
  <r>
    <n v="20598"/>
    <x v="0"/>
    <x v="1"/>
    <n v="100000"/>
    <n v="3"/>
    <s v="Partial High School"/>
    <x v="2"/>
    <s v="Yes"/>
    <n v="0"/>
    <s v="10+ Miles"/>
    <x v="0"/>
    <n v="59"/>
    <s v="Yes"/>
  </r>
  <r>
    <n v="21375"/>
    <x v="1"/>
    <x v="1"/>
    <n v="20000"/>
    <n v="2"/>
    <s v="Partial High School"/>
    <x v="1"/>
    <s v="Yes"/>
    <n v="2"/>
    <s v="5-10 Miles"/>
    <x v="1"/>
    <n v="57"/>
    <s v="No"/>
  </r>
  <r>
    <n v="20839"/>
    <x v="1"/>
    <x v="0"/>
    <n v="30000"/>
    <n v="3"/>
    <s v="Graduate Degree"/>
    <x v="1"/>
    <s v="Yes"/>
    <n v="0"/>
    <s v="0-1 Miles"/>
    <x v="0"/>
    <n v="47"/>
    <s v="Yes"/>
  </r>
  <r>
    <n v="21738"/>
    <x v="0"/>
    <x v="1"/>
    <n v="20000"/>
    <n v="1"/>
    <s v="Graduate Degree"/>
    <x v="1"/>
    <s v="Yes"/>
    <n v="0"/>
    <s v="0-1 Miles"/>
    <x v="0"/>
    <n v="43"/>
    <s v="No"/>
  </r>
  <r>
    <n v="14164"/>
    <x v="1"/>
    <x v="0"/>
    <n v="50000"/>
    <n v="0"/>
    <s v="Graduate Degree"/>
    <x v="0"/>
    <s v="Yes"/>
    <n v="0"/>
    <s v="0-1 Miles"/>
    <x v="0"/>
    <n v="36"/>
    <s v="Yes"/>
  </r>
  <r>
    <n v="14193"/>
    <x v="1"/>
    <x v="0"/>
    <n v="100000"/>
    <n v="3"/>
    <s v="Partial College"/>
    <x v="4"/>
    <s v="Yes"/>
    <n v="4"/>
    <s v="10+ Miles"/>
    <x v="0"/>
    <n v="56"/>
    <s v="No"/>
  </r>
  <r>
    <n v="12705"/>
    <x v="0"/>
    <x v="1"/>
    <n v="150000"/>
    <n v="0"/>
    <s v="Bachelors"/>
    <x v="4"/>
    <s v="Yes"/>
    <n v="4"/>
    <s v="0-1 Miles"/>
    <x v="1"/>
    <n v="37"/>
    <s v="Yes"/>
  </r>
  <r>
    <n v="22672"/>
    <x v="1"/>
    <x v="0"/>
    <n v="30000"/>
    <n v="2"/>
    <s v="Partial College"/>
    <x v="1"/>
    <s v="Yes"/>
    <n v="0"/>
    <s v="0-1 Miles"/>
    <x v="0"/>
    <n v="43"/>
    <s v="No"/>
  </r>
  <r>
    <n v="26219"/>
    <x v="0"/>
    <x v="0"/>
    <n v="40000"/>
    <n v="1"/>
    <s v="Bachelors"/>
    <x v="0"/>
    <s v="Yes"/>
    <n v="1"/>
    <s v="1-2 Miles"/>
    <x v="0"/>
    <n v="33"/>
    <s v="Yes"/>
  </r>
  <r>
    <n v="28468"/>
    <x v="0"/>
    <x v="0"/>
    <n v="10000"/>
    <n v="2"/>
    <s v="Partial College"/>
    <x v="3"/>
    <s v="Yes"/>
    <n v="0"/>
    <s v="1-2 Miles"/>
    <x v="0"/>
    <n v="51"/>
    <s v="No"/>
  </r>
  <r>
    <n v="23419"/>
    <x v="1"/>
    <x v="0"/>
    <n v="70000"/>
    <n v="5"/>
    <s v="Bachelors"/>
    <x v="2"/>
    <s v="Yes"/>
    <n v="3"/>
    <s v="10+ Miles"/>
    <x v="1"/>
    <n v="39"/>
    <s v="No"/>
  </r>
  <r>
    <n v="17964"/>
    <x v="0"/>
    <x v="1"/>
    <n v="40000"/>
    <n v="0"/>
    <s v="Graduate Degree"/>
    <x v="1"/>
    <s v="Yes"/>
    <n v="0"/>
    <s v="0-1 Miles"/>
    <x v="0"/>
    <n v="37"/>
    <s v="Yes"/>
  </r>
  <r>
    <n v="20919"/>
    <x v="1"/>
    <x v="0"/>
    <n v="30000"/>
    <n v="2"/>
    <s v="Partial College"/>
    <x v="1"/>
    <s v="Yes"/>
    <n v="2"/>
    <s v="0-1 Miles"/>
    <x v="0"/>
    <n v="42"/>
    <s v="No"/>
  </r>
  <r>
    <n v="20927"/>
    <x v="1"/>
    <x v="0"/>
    <n v="20000"/>
    <n v="5"/>
    <s v="High School"/>
    <x v="3"/>
    <s v="Yes"/>
    <n v="2"/>
    <s v="0-1 Miles"/>
    <x v="0"/>
    <n v="27"/>
    <s v="No"/>
  </r>
  <r>
    <n v="13133"/>
    <x v="1"/>
    <x v="1"/>
    <n v="100000"/>
    <n v="5"/>
    <s v="Bachelors"/>
    <x v="2"/>
    <s v="Yes"/>
    <n v="1"/>
    <s v="5-10 Miles"/>
    <x v="1"/>
    <n v="47"/>
    <s v="Yes"/>
  </r>
  <r>
    <n v="19626"/>
    <x v="0"/>
    <x v="1"/>
    <n v="70000"/>
    <n v="5"/>
    <s v="Partial College"/>
    <x v="0"/>
    <s v="Yes"/>
    <n v="3"/>
    <s v="5-10 Miles"/>
    <x v="1"/>
    <n v="45"/>
    <s v="No"/>
  </r>
  <r>
    <n v="21039"/>
    <x v="1"/>
    <x v="0"/>
    <n v="50000"/>
    <n v="0"/>
    <s v="Graduate Degree"/>
    <x v="0"/>
    <s v="No"/>
    <n v="0"/>
    <s v="0-1 Miles"/>
    <x v="0"/>
    <n v="37"/>
    <s v="Yes"/>
  </r>
  <r>
    <n v="12231"/>
    <x v="1"/>
    <x v="0"/>
    <n v="10000"/>
    <n v="2"/>
    <s v="Partial College"/>
    <x v="3"/>
    <s v="Yes"/>
    <n v="0"/>
    <s v="0-1 Miles"/>
    <x v="0"/>
    <n v="51"/>
    <s v="Yes"/>
  </r>
  <r>
    <n v="25665"/>
    <x v="1"/>
    <x v="0"/>
    <n v="20000"/>
    <n v="0"/>
    <s v="High School"/>
    <x v="3"/>
    <s v="No"/>
    <n v="1"/>
    <s v="1-2 Miles"/>
    <x v="0"/>
    <n v="28"/>
    <s v="No"/>
  </r>
  <r>
    <n v="24061"/>
    <x v="0"/>
    <x v="1"/>
    <n v="10000"/>
    <n v="4"/>
    <s v="Partial High School"/>
    <x v="3"/>
    <s v="Yes"/>
    <n v="1"/>
    <s v="0-1 Miles"/>
    <x v="0"/>
    <n v="40"/>
    <s v="Yes"/>
  </r>
  <r>
    <n v="26879"/>
    <x v="1"/>
    <x v="0"/>
    <n v="20000"/>
    <n v="0"/>
    <s v="High School"/>
    <x v="3"/>
    <s v="No"/>
    <n v="1"/>
    <s v="2-5 Miles"/>
    <x v="0"/>
    <n v="30"/>
    <s v="No"/>
  </r>
  <r>
    <n v="12284"/>
    <x v="0"/>
    <x v="0"/>
    <n v="30000"/>
    <n v="0"/>
    <s v="Bachelors"/>
    <x v="1"/>
    <s v="No"/>
    <n v="0"/>
    <s v="0-1 Miles"/>
    <x v="0"/>
    <n v="36"/>
    <s v="Yes"/>
  </r>
  <r>
    <n v="26654"/>
    <x v="0"/>
    <x v="0"/>
    <n v="90000"/>
    <n v="1"/>
    <s v="Graduate Degree"/>
    <x v="4"/>
    <s v="Yes"/>
    <n v="0"/>
    <s v="0-1 Miles"/>
    <x v="1"/>
    <n v="37"/>
    <s v="Yes"/>
  </r>
  <r>
    <n v="14545"/>
    <x v="0"/>
    <x v="0"/>
    <n v="10000"/>
    <n v="2"/>
    <s v="Partial College"/>
    <x v="3"/>
    <s v="Yes"/>
    <n v="0"/>
    <s v="1-2 Miles"/>
    <x v="0"/>
    <n v="49"/>
    <s v="No"/>
  </r>
  <r>
    <n v="24201"/>
    <x v="0"/>
    <x v="0"/>
    <n v="10000"/>
    <n v="2"/>
    <s v="High School"/>
    <x v="3"/>
    <s v="Yes"/>
    <n v="0"/>
    <s v="0-1 Miles"/>
    <x v="0"/>
    <n v="37"/>
    <s v="Yes"/>
  </r>
  <r>
    <n v="20625"/>
    <x v="0"/>
    <x v="1"/>
    <n v="100000"/>
    <n v="0"/>
    <s v="High School"/>
    <x v="4"/>
    <s v="Yes"/>
    <n v="3"/>
    <s v="10+ Miles"/>
    <x v="1"/>
    <n v="35"/>
    <s v="Yes"/>
  </r>
  <r>
    <n v="16390"/>
    <x v="1"/>
    <x v="1"/>
    <n v="30000"/>
    <n v="1"/>
    <s v="Bachelors"/>
    <x v="1"/>
    <s v="No"/>
    <n v="0"/>
    <s v="0-1 Miles"/>
    <x v="0"/>
    <n v="38"/>
    <s v="Yes"/>
  </r>
  <r>
    <n v="14804"/>
    <x v="1"/>
    <x v="0"/>
    <n v="10000"/>
    <n v="3"/>
    <s v="Partial High School"/>
    <x v="3"/>
    <s v="Yes"/>
    <n v="2"/>
    <s v="0-1 Miles"/>
    <x v="0"/>
    <n v="43"/>
    <s v="No"/>
  </r>
  <r>
    <n v="12629"/>
    <x v="1"/>
    <x v="1"/>
    <n v="20000"/>
    <n v="1"/>
    <s v="Partial College"/>
    <x v="3"/>
    <s v="No"/>
    <n v="0"/>
    <s v="0-1 Miles"/>
    <x v="0"/>
    <n v="37"/>
    <s v="No"/>
  </r>
  <r>
    <n v="14696"/>
    <x v="1"/>
    <x v="1"/>
    <n v="10000"/>
    <n v="0"/>
    <s v="Partial High School"/>
    <x v="3"/>
    <s v="No"/>
    <n v="2"/>
    <s v="0-1 Miles"/>
    <x v="0"/>
    <n v="34"/>
    <s v="No"/>
  </r>
  <r>
    <n v="22005"/>
    <x v="0"/>
    <x v="0"/>
    <n v="70000"/>
    <n v="5"/>
    <s v="Partial College"/>
    <x v="0"/>
    <s v="No"/>
    <n v="3"/>
    <s v="5-10 Miles"/>
    <x v="1"/>
    <n v="46"/>
    <s v="No"/>
  </r>
  <r>
    <n v="14544"/>
    <x v="1"/>
    <x v="1"/>
    <n v="10000"/>
    <n v="1"/>
    <s v="Partial College"/>
    <x v="3"/>
    <s v="Yes"/>
    <n v="0"/>
    <s v="0-1 Miles"/>
    <x v="0"/>
    <n v="49"/>
    <s v="No"/>
  </r>
  <r>
    <n v="14312"/>
    <x v="0"/>
    <x v="0"/>
    <n v="60000"/>
    <n v="1"/>
    <s v="Partial College"/>
    <x v="0"/>
    <s v="Yes"/>
    <n v="1"/>
    <s v="5-10 Miles"/>
    <x v="1"/>
    <n v="45"/>
    <s v="No"/>
  </r>
  <r>
    <n v="29120"/>
    <x v="1"/>
    <x v="0"/>
    <n v="100000"/>
    <n v="1"/>
    <s v="Bachelors"/>
    <x v="4"/>
    <s v="Yes"/>
    <n v="4"/>
    <s v="2-5 Miles"/>
    <x v="1"/>
    <n v="48"/>
    <s v="No"/>
  </r>
  <r>
    <n v="24187"/>
    <x v="1"/>
    <x v="0"/>
    <n v="30000"/>
    <n v="3"/>
    <s v="Graduate Degree"/>
    <x v="1"/>
    <s v="No"/>
    <n v="0"/>
    <s v="0-1 Miles"/>
    <x v="0"/>
    <n v="46"/>
    <s v="Yes"/>
  </r>
  <r>
    <n v="15758"/>
    <x v="0"/>
    <x v="1"/>
    <n v="130000"/>
    <n v="0"/>
    <s v="Graduate Degree"/>
    <x v="4"/>
    <s v="Yes"/>
    <n v="0"/>
    <s v="5-10 Miles"/>
    <x v="1"/>
    <n v="48"/>
    <s v="No"/>
  </r>
  <r>
    <n v="29094"/>
    <x v="0"/>
    <x v="1"/>
    <n v="30000"/>
    <n v="3"/>
    <s v="High School"/>
    <x v="0"/>
    <s v="Yes"/>
    <n v="2"/>
    <s v="5-10 Miles"/>
    <x v="1"/>
    <n v="54"/>
    <s v="Yes"/>
  </r>
  <r>
    <n v="28319"/>
    <x v="1"/>
    <x v="0"/>
    <n v="60000"/>
    <n v="1"/>
    <s v="Partial College"/>
    <x v="0"/>
    <s v="No"/>
    <n v="1"/>
    <s v="0-1 Miles"/>
    <x v="1"/>
    <n v="46"/>
    <s v="Yes"/>
  </r>
  <r>
    <n v="16406"/>
    <x v="0"/>
    <x v="1"/>
    <n v="40000"/>
    <n v="0"/>
    <s v="Bachelors"/>
    <x v="1"/>
    <s v="No"/>
    <n v="0"/>
    <s v="0-1 Miles"/>
    <x v="0"/>
    <n v="38"/>
    <s v="Yes"/>
  </r>
  <r>
    <n v="20923"/>
    <x v="0"/>
    <x v="0"/>
    <n v="40000"/>
    <n v="1"/>
    <s v="Bachelors"/>
    <x v="0"/>
    <s v="Yes"/>
    <n v="0"/>
    <s v="0-1 Miles"/>
    <x v="0"/>
    <n v="42"/>
    <s v="Yes"/>
  </r>
  <r>
    <n v="11378"/>
    <x v="1"/>
    <x v="0"/>
    <n v="10000"/>
    <n v="1"/>
    <s v="High School"/>
    <x v="3"/>
    <s v="No"/>
    <n v="1"/>
    <s v="2-5 Miles"/>
    <x v="0"/>
    <n v="46"/>
    <s v="Yes"/>
  </r>
  <r>
    <n v="20851"/>
    <x v="1"/>
    <x v="1"/>
    <n v="20000"/>
    <n v="0"/>
    <s v="Partial College"/>
    <x v="3"/>
    <s v="No"/>
    <n v="1"/>
    <s v="2-5 Miles"/>
    <x v="0"/>
    <n v="36"/>
    <s v="Yes"/>
  </r>
  <r>
    <n v="21557"/>
    <x v="1"/>
    <x v="0"/>
    <n v="110000"/>
    <n v="0"/>
    <s v="Partial College"/>
    <x v="4"/>
    <s v="Yes"/>
    <n v="3"/>
    <s v="10+ Miles"/>
    <x v="1"/>
    <n v="32"/>
    <s v="Yes"/>
  </r>
  <r>
    <n v="26663"/>
    <x v="1"/>
    <x v="0"/>
    <n v="60000"/>
    <n v="2"/>
    <s v="Bachelors"/>
    <x v="2"/>
    <s v="No"/>
    <n v="1"/>
    <s v="0-1 Miles"/>
    <x v="1"/>
    <n v="39"/>
    <s v="Yes"/>
  </r>
  <r>
    <n v="11896"/>
    <x v="0"/>
    <x v="1"/>
    <n v="100000"/>
    <n v="1"/>
    <s v="Graduate Degree"/>
    <x v="4"/>
    <s v="Yes"/>
    <n v="0"/>
    <s v="2-5 Miles"/>
    <x v="1"/>
    <n v="36"/>
    <s v="Yes"/>
  </r>
  <r>
    <n v="14189"/>
    <x v="0"/>
    <x v="0"/>
    <n v="90000"/>
    <n v="4"/>
    <s v="High School"/>
    <x v="2"/>
    <s v="No"/>
    <n v="2"/>
    <s v="2-5 Miles"/>
    <x v="0"/>
    <n v="54"/>
    <s v="Yes"/>
  </r>
  <r>
    <n v="13136"/>
    <x v="0"/>
    <x v="0"/>
    <n v="30000"/>
    <n v="2"/>
    <s v="Partial College"/>
    <x v="1"/>
    <s v="No"/>
    <n v="2"/>
    <s v="5-10 Miles"/>
    <x v="1"/>
    <n v="69"/>
    <s v="No"/>
  </r>
  <r>
    <n v="25906"/>
    <x v="1"/>
    <x v="0"/>
    <n v="10000"/>
    <n v="5"/>
    <s v="High School"/>
    <x v="0"/>
    <s v="No"/>
    <n v="2"/>
    <s v="1-2 Miles"/>
    <x v="1"/>
    <n v="62"/>
    <s v="No"/>
  </r>
  <r>
    <n v="17926"/>
    <x v="1"/>
    <x v="0"/>
    <n v="40000"/>
    <n v="0"/>
    <s v="Bachelors"/>
    <x v="1"/>
    <s v="No"/>
    <n v="0"/>
    <s v="0-1 Miles"/>
    <x v="1"/>
    <n v="28"/>
    <s v="Yes"/>
  </r>
  <r>
    <n v="26928"/>
    <x v="1"/>
    <x v="1"/>
    <n v="30000"/>
    <n v="1"/>
    <s v="Bachelors"/>
    <x v="1"/>
    <s v="Yes"/>
    <n v="0"/>
    <s v="0-1 Miles"/>
    <x v="0"/>
    <n v="62"/>
    <s v="Yes"/>
  </r>
  <r>
    <n v="20897"/>
    <x v="0"/>
    <x v="0"/>
    <n v="30000"/>
    <n v="1"/>
    <s v="Bachelors"/>
    <x v="0"/>
    <s v="Yes"/>
    <n v="2"/>
    <s v="0-1 Miles"/>
    <x v="0"/>
    <n v="40"/>
    <s v="No"/>
  </r>
  <r>
    <n v="28207"/>
    <x v="0"/>
    <x v="1"/>
    <n v="80000"/>
    <n v="4"/>
    <s v="Graduate Degree"/>
    <x v="4"/>
    <s v="Yes"/>
    <n v="1"/>
    <s v="0-1 Miles"/>
    <x v="1"/>
    <n v="36"/>
    <s v="Yes"/>
  </r>
  <r>
    <n v="25923"/>
    <x v="1"/>
    <x v="1"/>
    <n v="10000"/>
    <n v="2"/>
    <s v="Partial High School"/>
    <x v="1"/>
    <s v="Yes"/>
    <n v="2"/>
    <s v="5-10 Miles"/>
    <x v="1"/>
    <n v="58"/>
    <s v="No"/>
  </r>
  <r>
    <n v="11000"/>
    <x v="0"/>
    <x v="1"/>
    <n v="90000"/>
    <n v="2"/>
    <s v="Bachelors"/>
    <x v="2"/>
    <s v="Yes"/>
    <n v="0"/>
    <s v="1-2 Miles"/>
    <x v="1"/>
    <n v="40"/>
    <s v="Yes"/>
  </r>
  <r>
    <n v="20974"/>
    <x v="0"/>
    <x v="1"/>
    <n v="10000"/>
    <n v="2"/>
    <s v="Bachelors"/>
    <x v="1"/>
    <s v="Yes"/>
    <n v="1"/>
    <s v="0-1 Miles"/>
    <x v="0"/>
    <n v="66"/>
    <s v="No"/>
  </r>
  <r>
    <n v="28758"/>
    <x v="0"/>
    <x v="1"/>
    <n v="40000"/>
    <n v="2"/>
    <s v="Partial College"/>
    <x v="1"/>
    <s v="Yes"/>
    <n v="1"/>
    <s v="1-2 Miles"/>
    <x v="0"/>
    <n v="35"/>
    <s v="Yes"/>
  </r>
  <r>
    <n v="11381"/>
    <x v="0"/>
    <x v="0"/>
    <n v="20000"/>
    <n v="2"/>
    <s v="Partial College"/>
    <x v="3"/>
    <s v="Yes"/>
    <n v="1"/>
    <s v="2-5 Miles"/>
    <x v="0"/>
    <n v="47"/>
    <s v="Yes"/>
  </r>
  <r>
    <n v="17522"/>
    <x v="0"/>
    <x v="1"/>
    <n v="120000"/>
    <n v="4"/>
    <s v="Bachelors"/>
    <x v="4"/>
    <s v="Yes"/>
    <n v="1"/>
    <s v="2-5 Miles"/>
    <x v="1"/>
    <n v="47"/>
    <s v="No"/>
  </r>
  <r>
    <n v="21207"/>
    <x v="0"/>
    <x v="1"/>
    <n v="60000"/>
    <n v="1"/>
    <s v="Partial College"/>
    <x v="0"/>
    <s v="Yes"/>
    <n v="1"/>
    <s v="5-10 Miles"/>
    <x v="1"/>
    <n v="46"/>
    <s v="No"/>
  </r>
  <r>
    <n v="28102"/>
    <x v="0"/>
    <x v="1"/>
    <n v="20000"/>
    <n v="4"/>
    <s v="High School"/>
    <x v="0"/>
    <s v="Yes"/>
    <n v="2"/>
    <s v="5-10 Miles"/>
    <x v="1"/>
    <n v="58"/>
    <s v="Yes"/>
  </r>
  <r>
    <n v="23105"/>
    <x v="1"/>
    <x v="1"/>
    <n v="40000"/>
    <n v="3"/>
    <s v="Partial High School"/>
    <x v="1"/>
    <s v="No"/>
    <n v="2"/>
    <s v="5-10 Miles"/>
    <x v="1"/>
    <n v="52"/>
    <s v="Yes"/>
  </r>
  <r>
    <n v="18740"/>
    <x v="0"/>
    <x v="1"/>
    <n v="80000"/>
    <n v="5"/>
    <s v="Bachelors"/>
    <x v="2"/>
    <s v="No"/>
    <n v="1"/>
    <s v="0-1 Miles"/>
    <x v="1"/>
    <n v="47"/>
    <s v="Yes"/>
  </r>
  <r>
    <n v="21213"/>
    <x v="1"/>
    <x v="1"/>
    <n v="70000"/>
    <n v="0"/>
    <s v="Bachelors"/>
    <x v="2"/>
    <s v="No"/>
    <n v="1"/>
    <s v="5-10 Miles"/>
    <x v="1"/>
    <n v="41"/>
    <s v="No"/>
  </r>
  <r>
    <n v="17352"/>
    <x v="0"/>
    <x v="1"/>
    <n v="50000"/>
    <n v="2"/>
    <s v="Graduate Degree"/>
    <x v="4"/>
    <s v="Yes"/>
    <n v="1"/>
    <s v="5-10 Miles"/>
    <x v="1"/>
    <n v="64"/>
    <s v="Yes"/>
  </r>
  <r>
    <n v="14154"/>
    <x v="0"/>
    <x v="1"/>
    <n v="30000"/>
    <n v="0"/>
    <s v="Bachelors"/>
    <x v="1"/>
    <s v="Yes"/>
    <n v="0"/>
    <s v="0-1 Miles"/>
    <x v="0"/>
    <n v="35"/>
    <s v="Yes"/>
  </r>
  <r>
    <n v="19066"/>
    <x v="0"/>
    <x v="1"/>
    <n v="130000"/>
    <n v="4"/>
    <s v="Partial College"/>
    <x v="2"/>
    <s v="No"/>
    <n v="3"/>
    <s v="10+ Miles"/>
    <x v="0"/>
    <n v="54"/>
    <s v="No"/>
  </r>
  <r>
    <n v="11386"/>
    <x v="0"/>
    <x v="0"/>
    <n v="30000"/>
    <n v="3"/>
    <s v="Bachelors"/>
    <x v="1"/>
    <s v="Yes"/>
    <n v="0"/>
    <s v="0-1 Miles"/>
    <x v="0"/>
    <n v="45"/>
    <s v="No"/>
  </r>
  <r>
    <n v="20228"/>
    <x v="0"/>
    <x v="1"/>
    <n v="100000"/>
    <n v="0"/>
    <s v="Graduate Degree"/>
    <x v="4"/>
    <s v="Yes"/>
    <n v="0"/>
    <s v="2-5 Miles"/>
    <x v="1"/>
    <n v="40"/>
    <s v="Yes"/>
  </r>
  <r>
    <n v="16675"/>
    <x v="1"/>
    <x v="0"/>
    <n v="160000"/>
    <n v="0"/>
    <s v="Graduate Degree"/>
    <x v="4"/>
    <s v="No"/>
    <n v="3"/>
    <s v="0-1 Miles"/>
    <x v="1"/>
    <n v="47"/>
    <s v="Yes"/>
  </r>
  <r>
    <n v="16410"/>
    <x v="1"/>
    <x v="0"/>
    <n v="10000"/>
    <n v="4"/>
    <s v="Partial High School"/>
    <x v="3"/>
    <s v="Yes"/>
    <n v="2"/>
    <s v="0-1 Miles"/>
    <x v="0"/>
    <n v="41"/>
    <s v="Yes"/>
  </r>
  <r>
    <n v="27760"/>
    <x v="1"/>
    <x v="0"/>
    <n v="40000"/>
    <n v="0"/>
    <s v="Graduate Degree"/>
    <x v="1"/>
    <s v="No"/>
    <n v="0"/>
    <s v="0-1 Miles"/>
    <x v="0"/>
    <n v="37"/>
    <s v="Yes"/>
  </r>
  <r>
    <n v="22930"/>
    <x v="0"/>
    <x v="1"/>
    <n v="90000"/>
    <n v="4"/>
    <s v="Bachelors"/>
    <x v="2"/>
    <s v="Yes"/>
    <n v="0"/>
    <s v="1-2 Miles"/>
    <x v="1"/>
    <n v="38"/>
    <s v="Yes"/>
  </r>
  <r>
    <n v="23780"/>
    <x v="1"/>
    <x v="1"/>
    <n v="40000"/>
    <n v="2"/>
    <s v="Partial College"/>
    <x v="1"/>
    <s v="No"/>
    <n v="2"/>
    <s v="0-1 Miles"/>
    <x v="0"/>
    <n v="36"/>
    <s v="Yes"/>
  </r>
  <r>
    <n v="20994"/>
    <x v="0"/>
    <x v="0"/>
    <n v="20000"/>
    <n v="0"/>
    <s v="Bachelors"/>
    <x v="1"/>
    <s v="No"/>
    <n v="0"/>
    <s v="0-1 Miles"/>
    <x v="1"/>
    <n v="26"/>
    <s v="Yes"/>
  </r>
  <r>
    <n v="28379"/>
    <x v="0"/>
    <x v="1"/>
    <n v="30000"/>
    <n v="1"/>
    <s v="Bachelors"/>
    <x v="0"/>
    <s v="Yes"/>
    <n v="2"/>
    <s v="0-1 Miles"/>
    <x v="0"/>
    <n v="40"/>
    <s v="No"/>
  </r>
  <r>
    <n v="14865"/>
    <x v="1"/>
    <x v="1"/>
    <n v="40000"/>
    <n v="2"/>
    <s v="Partial College"/>
    <x v="1"/>
    <s v="Yes"/>
    <n v="2"/>
    <s v="1-2 Miles"/>
    <x v="0"/>
    <n v="36"/>
    <s v="No"/>
  </r>
  <r>
    <n v="12663"/>
    <x v="0"/>
    <x v="0"/>
    <n v="90000"/>
    <n v="5"/>
    <s v="Partial High School"/>
    <x v="0"/>
    <s v="Yes"/>
    <n v="2"/>
    <s v="10+ Miles"/>
    <x v="0"/>
    <n v="59"/>
    <s v="No"/>
  </r>
  <r>
    <n v="24898"/>
    <x v="1"/>
    <x v="0"/>
    <n v="80000"/>
    <n v="0"/>
    <s v="Bachelors"/>
    <x v="2"/>
    <s v="Yes"/>
    <n v="3"/>
    <s v="10+ Miles"/>
    <x v="1"/>
    <n v="32"/>
    <s v="No"/>
  </r>
  <r>
    <n v="19508"/>
    <x v="0"/>
    <x v="1"/>
    <n v="10000"/>
    <n v="0"/>
    <s v="Partial High School"/>
    <x v="3"/>
    <s v="No"/>
    <n v="2"/>
    <s v="0-1 Miles"/>
    <x v="0"/>
    <n v="30"/>
    <s v="No"/>
  </r>
  <r>
    <n v="11489"/>
    <x v="1"/>
    <x v="0"/>
    <n v="20000"/>
    <n v="0"/>
    <s v="Partial High School"/>
    <x v="3"/>
    <s v="No"/>
    <n v="2"/>
    <s v="1-2 Miles"/>
    <x v="0"/>
    <n v="35"/>
    <s v="Yes"/>
  </r>
  <r>
    <n v="18160"/>
    <x v="0"/>
    <x v="1"/>
    <n v="130000"/>
    <n v="3"/>
    <s v="High School"/>
    <x v="2"/>
    <s v="Yes"/>
    <n v="4"/>
    <s v="5-10 Miles"/>
    <x v="0"/>
    <n v="51"/>
    <s v="Yes"/>
  </r>
  <r>
    <n v="25241"/>
    <x v="0"/>
    <x v="1"/>
    <n v="90000"/>
    <n v="2"/>
    <s v="Bachelors"/>
    <x v="2"/>
    <s v="Yes"/>
    <n v="1"/>
    <s v="5-10 Miles"/>
    <x v="1"/>
    <n v="47"/>
    <s v="No"/>
  </r>
  <r>
    <n v="24369"/>
    <x v="0"/>
    <x v="1"/>
    <n v="80000"/>
    <n v="5"/>
    <s v="Graduate Degree"/>
    <x v="4"/>
    <s v="No"/>
    <n v="2"/>
    <s v="0-1 Miles"/>
    <x v="1"/>
    <n v="39"/>
    <s v="No"/>
  </r>
  <r>
    <n v="27165"/>
    <x v="1"/>
    <x v="1"/>
    <n v="20000"/>
    <n v="0"/>
    <s v="Partial High School"/>
    <x v="3"/>
    <s v="No"/>
    <n v="2"/>
    <s v="0-1 Miles"/>
    <x v="0"/>
    <n v="34"/>
    <s v="No"/>
  </r>
  <r>
    <n v="29424"/>
    <x v="0"/>
    <x v="1"/>
    <n v="10000"/>
    <n v="0"/>
    <s v="Partial High School"/>
    <x v="3"/>
    <s v="Yes"/>
    <n v="2"/>
    <s v="0-1 Miles"/>
    <x v="0"/>
    <n v="32"/>
    <s v="No"/>
  </r>
  <r>
    <n v="15926"/>
    <x v="1"/>
    <x v="0"/>
    <n v="120000"/>
    <n v="3"/>
    <s v="High School"/>
    <x v="2"/>
    <s v="Yes"/>
    <n v="4"/>
    <s v="5-10 Miles"/>
    <x v="0"/>
    <n v="50"/>
    <s v="Yes"/>
  </r>
  <r>
    <n v="14554"/>
    <x v="0"/>
    <x v="1"/>
    <n v="20000"/>
    <n v="1"/>
    <s v="Bachelors"/>
    <x v="1"/>
    <s v="Yes"/>
    <n v="0"/>
    <s v="0-1 Miles"/>
    <x v="0"/>
    <n v="66"/>
    <s v="No"/>
  </r>
  <r>
    <n v="16468"/>
    <x v="1"/>
    <x v="1"/>
    <n v="30000"/>
    <n v="0"/>
    <s v="Partial College"/>
    <x v="1"/>
    <s v="Yes"/>
    <n v="1"/>
    <s v="2-5 Miles"/>
    <x v="0"/>
    <n v="30"/>
    <s v="No"/>
  </r>
  <r>
    <n v="19174"/>
    <x v="1"/>
    <x v="0"/>
    <n v="30000"/>
    <n v="0"/>
    <s v="High School"/>
    <x v="3"/>
    <s v="No"/>
    <n v="1"/>
    <s v="2-5 Miles"/>
    <x v="0"/>
    <n v="32"/>
    <s v="Yes"/>
  </r>
  <r>
    <n v="19183"/>
    <x v="1"/>
    <x v="1"/>
    <n v="10000"/>
    <n v="0"/>
    <s v="Partial High School"/>
    <x v="3"/>
    <s v="Yes"/>
    <n v="2"/>
    <s v="1-2 Miles"/>
    <x v="0"/>
    <n v="35"/>
    <s v="No"/>
  </r>
  <r>
    <n v="13683"/>
    <x v="1"/>
    <x v="0"/>
    <n v="30000"/>
    <n v="0"/>
    <s v="High School"/>
    <x v="3"/>
    <s v="No"/>
    <n v="1"/>
    <s v="2-5 Miles"/>
    <x v="0"/>
    <n v="32"/>
    <s v="No"/>
  </r>
  <r>
    <n v="17848"/>
    <x v="1"/>
    <x v="1"/>
    <n v="30000"/>
    <n v="0"/>
    <s v="Partial College"/>
    <x v="1"/>
    <s v="No"/>
    <n v="1"/>
    <s v="2-5 Miles"/>
    <x v="0"/>
    <n v="31"/>
    <s v="Yes"/>
  </r>
  <r>
    <n v="17894"/>
    <x v="0"/>
    <x v="0"/>
    <n v="20000"/>
    <n v="1"/>
    <s v="Bachelors"/>
    <x v="1"/>
    <s v="Yes"/>
    <n v="0"/>
    <s v="0-1 Miles"/>
    <x v="0"/>
    <n v="50"/>
    <s v="Yes"/>
  </r>
  <r>
    <n v="25651"/>
    <x v="0"/>
    <x v="1"/>
    <n v="40000"/>
    <n v="1"/>
    <s v="Bachelors"/>
    <x v="0"/>
    <s v="No"/>
    <n v="0"/>
    <s v="0-1 Miles"/>
    <x v="0"/>
    <n v="43"/>
    <s v="Yes"/>
  </r>
  <r>
    <n v="22936"/>
    <x v="1"/>
    <x v="0"/>
    <n v="60000"/>
    <n v="1"/>
    <s v="Partial College"/>
    <x v="0"/>
    <s v="No"/>
    <n v="1"/>
    <s v="0-1 Miles"/>
    <x v="1"/>
    <n v="45"/>
    <s v="Yes"/>
  </r>
  <r>
    <n v="23915"/>
    <x v="0"/>
    <x v="1"/>
    <n v="20000"/>
    <n v="2"/>
    <s v="High School"/>
    <x v="3"/>
    <s v="Yes"/>
    <n v="2"/>
    <s v="0-1 Miles"/>
    <x v="0"/>
    <n v="42"/>
    <s v="No"/>
  </r>
  <r>
    <n v="24121"/>
    <x v="1"/>
    <x v="0"/>
    <n v="30000"/>
    <n v="0"/>
    <s v="Partial College"/>
    <x v="1"/>
    <s v="No"/>
    <n v="1"/>
    <s v="0-1 Miles"/>
    <x v="0"/>
    <n v="29"/>
    <s v="Yes"/>
  </r>
  <r>
    <n v="27878"/>
    <x v="1"/>
    <x v="1"/>
    <n v="20000"/>
    <n v="0"/>
    <s v="Partial College"/>
    <x v="3"/>
    <s v="No"/>
    <n v="0"/>
    <s v="0-1 Miles"/>
    <x v="1"/>
    <n v="28"/>
    <s v="Yes"/>
  </r>
  <r>
    <n v="13572"/>
    <x v="1"/>
    <x v="1"/>
    <n v="10000"/>
    <n v="3"/>
    <s v="High School"/>
    <x v="3"/>
    <s v="Yes"/>
    <n v="0"/>
    <s v="0-1 Miles"/>
    <x v="0"/>
    <n v="37"/>
    <s v="Yes"/>
  </r>
  <r>
    <n v="27941"/>
    <x v="0"/>
    <x v="0"/>
    <n v="80000"/>
    <n v="4"/>
    <s v="Partial College"/>
    <x v="2"/>
    <s v="Yes"/>
    <n v="2"/>
    <s v="2-5 Miles"/>
    <x v="0"/>
    <n v="53"/>
    <s v="No"/>
  </r>
  <r>
    <n v="26354"/>
    <x v="1"/>
    <x v="1"/>
    <n v="40000"/>
    <n v="0"/>
    <s v="Graduate Degree"/>
    <x v="1"/>
    <s v="No"/>
    <n v="0"/>
    <s v="0-1 Miles"/>
    <x v="0"/>
    <n v="38"/>
    <s v="Yes"/>
  </r>
  <r>
    <n v="14785"/>
    <x v="1"/>
    <x v="1"/>
    <n v="30000"/>
    <n v="1"/>
    <s v="Bachelors"/>
    <x v="1"/>
    <s v="No"/>
    <n v="1"/>
    <s v="1-2 Miles"/>
    <x v="0"/>
    <n v="39"/>
    <s v="No"/>
  </r>
  <r>
    <n v="17238"/>
    <x v="1"/>
    <x v="1"/>
    <n v="80000"/>
    <n v="0"/>
    <s v="Bachelors"/>
    <x v="2"/>
    <s v="Yes"/>
    <n v="3"/>
    <s v="10+ Miles"/>
    <x v="1"/>
    <n v="32"/>
    <s v="No"/>
  </r>
  <r>
    <n v="23608"/>
    <x v="0"/>
    <x v="0"/>
    <n v="150000"/>
    <n v="3"/>
    <s v="High School"/>
    <x v="2"/>
    <s v="Yes"/>
    <n v="3"/>
    <s v="0-1 Miles"/>
    <x v="0"/>
    <n v="51"/>
    <s v="Yes"/>
  </r>
  <r>
    <n v="22538"/>
    <x v="1"/>
    <x v="0"/>
    <n v="10000"/>
    <n v="0"/>
    <s v="Partial High School"/>
    <x v="3"/>
    <s v="Yes"/>
    <n v="2"/>
    <s v="1-2 Miles"/>
    <x v="0"/>
    <n v="33"/>
    <s v="No"/>
  </r>
  <r>
    <n v="12332"/>
    <x v="0"/>
    <x v="1"/>
    <n v="90000"/>
    <n v="4"/>
    <s v="High School"/>
    <x v="4"/>
    <s v="Yes"/>
    <n v="3"/>
    <s v="5-10 Miles"/>
    <x v="0"/>
    <n v="58"/>
    <s v="Yes"/>
  </r>
  <r>
    <n v="17230"/>
    <x v="0"/>
    <x v="1"/>
    <n v="80000"/>
    <n v="0"/>
    <s v="Bachelors"/>
    <x v="2"/>
    <s v="Yes"/>
    <n v="3"/>
    <s v="10+ Miles"/>
    <x v="1"/>
    <n v="30"/>
    <s v="No"/>
  </r>
  <r>
    <n v="13082"/>
    <x v="1"/>
    <x v="1"/>
    <n v="130000"/>
    <n v="0"/>
    <s v="Graduate Degree"/>
    <x v="4"/>
    <s v="Yes"/>
    <n v="0"/>
    <s v="2-5 Miles"/>
    <x v="1"/>
    <n v="48"/>
    <s v="Yes"/>
  </r>
  <r>
    <n v="22518"/>
    <x v="1"/>
    <x v="0"/>
    <n v="30000"/>
    <n v="3"/>
    <s v="Partial College"/>
    <x v="1"/>
    <s v="No"/>
    <n v="2"/>
    <s v="0-1 Miles"/>
    <x v="0"/>
    <n v="27"/>
    <s v="Yes"/>
  </r>
  <r>
    <n v="13687"/>
    <x v="0"/>
    <x v="1"/>
    <n v="40000"/>
    <n v="1"/>
    <s v="Bachelors"/>
    <x v="0"/>
    <s v="Yes"/>
    <n v="1"/>
    <s v="0-1 Miles"/>
    <x v="0"/>
    <n v="33"/>
    <s v="Yes"/>
  </r>
  <r>
    <n v="23571"/>
    <x v="0"/>
    <x v="0"/>
    <n v="40000"/>
    <n v="2"/>
    <s v="Bachelors"/>
    <x v="4"/>
    <s v="Yes"/>
    <n v="2"/>
    <s v="0-1 Miles"/>
    <x v="1"/>
    <n v="66"/>
    <s v="Yes"/>
  </r>
  <r>
    <n v="19305"/>
    <x v="1"/>
    <x v="0"/>
    <n v="10000"/>
    <n v="2"/>
    <s v="High School"/>
    <x v="3"/>
    <s v="Yes"/>
    <n v="1"/>
    <s v="0-1 Miles"/>
    <x v="0"/>
    <n v="38"/>
    <s v="Yes"/>
  </r>
  <r>
    <n v="22636"/>
    <x v="1"/>
    <x v="0"/>
    <n v="40000"/>
    <n v="0"/>
    <s v="Bachelors"/>
    <x v="1"/>
    <s v="No"/>
    <n v="0"/>
    <s v="0-1 Miles"/>
    <x v="0"/>
    <n v="38"/>
    <s v="Yes"/>
  </r>
  <r>
    <n v="17310"/>
    <x v="0"/>
    <x v="1"/>
    <n v="60000"/>
    <n v="1"/>
    <s v="Partial College"/>
    <x v="0"/>
    <s v="Yes"/>
    <n v="1"/>
    <s v="0-1 Miles"/>
    <x v="1"/>
    <n v="45"/>
    <s v="Yes"/>
  </r>
  <r>
    <n v="12133"/>
    <x v="0"/>
    <x v="0"/>
    <n v="130000"/>
    <n v="3"/>
    <s v="Partial College"/>
    <x v="2"/>
    <s v="Yes"/>
    <n v="3"/>
    <s v="5-10 Miles"/>
    <x v="0"/>
    <n v="50"/>
    <s v="Yes"/>
  </r>
  <r>
    <n v="25918"/>
    <x v="1"/>
    <x v="0"/>
    <n v="30000"/>
    <n v="2"/>
    <s v="Partial College"/>
    <x v="1"/>
    <s v="No"/>
    <n v="2"/>
    <s v="5-10 Miles"/>
    <x v="1"/>
    <n v="60"/>
    <s v="Yes"/>
  </r>
  <r>
    <n v="25752"/>
    <x v="1"/>
    <x v="0"/>
    <n v="20000"/>
    <n v="2"/>
    <s v="Partial College"/>
    <x v="3"/>
    <s v="No"/>
    <n v="1"/>
    <s v="0-1 Miles"/>
    <x v="0"/>
    <n v="53"/>
    <s v="Yes"/>
  </r>
  <r>
    <n v="17324"/>
    <x v="0"/>
    <x v="0"/>
    <n v="100000"/>
    <n v="4"/>
    <s v="Bachelors"/>
    <x v="2"/>
    <s v="Yes"/>
    <n v="1"/>
    <s v="10+ Miles"/>
    <x v="1"/>
    <n v="46"/>
    <s v="No"/>
  </r>
  <r>
    <n v="22918"/>
    <x v="1"/>
    <x v="1"/>
    <n v="80000"/>
    <n v="5"/>
    <s v="Graduate Degree"/>
    <x v="4"/>
    <s v="Yes"/>
    <n v="3"/>
    <s v="0-1 Miles"/>
    <x v="1"/>
    <n v="50"/>
    <s v="No"/>
  </r>
  <r>
    <n v="12510"/>
    <x v="0"/>
    <x v="1"/>
    <n v="40000"/>
    <n v="1"/>
    <s v="Bachelors"/>
    <x v="0"/>
    <s v="Yes"/>
    <n v="1"/>
    <s v="0-1 Miles"/>
    <x v="0"/>
    <n v="43"/>
    <s v="Yes"/>
  </r>
  <r>
    <n v="25512"/>
    <x v="1"/>
    <x v="1"/>
    <n v="20000"/>
    <n v="0"/>
    <s v="High School"/>
    <x v="3"/>
    <s v="No"/>
    <n v="1"/>
    <s v="2-5 Miles"/>
    <x v="0"/>
    <n v="30"/>
    <s v="No"/>
  </r>
  <r>
    <n v="16179"/>
    <x v="1"/>
    <x v="0"/>
    <n v="80000"/>
    <n v="5"/>
    <s v="Bachelors"/>
    <x v="2"/>
    <s v="Yes"/>
    <n v="4"/>
    <s v="1-2 Miles"/>
    <x v="1"/>
    <n v="38"/>
    <s v="No"/>
  </r>
  <r>
    <n v="15628"/>
    <x v="0"/>
    <x v="0"/>
    <n v="40000"/>
    <n v="1"/>
    <s v="Bachelors"/>
    <x v="0"/>
    <s v="Yes"/>
    <n v="1"/>
    <s v="0-1 Miles"/>
    <x v="0"/>
    <n v="89"/>
    <s v="No"/>
  </r>
  <r>
    <n v="20977"/>
    <x v="0"/>
    <x v="1"/>
    <n v="20000"/>
    <n v="1"/>
    <s v="Bachelors"/>
    <x v="1"/>
    <s v="Yes"/>
    <n v="0"/>
    <s v="0-1 Miles"/>
    <x v="0"/>
    <n v="64"/>
    <s v="Yes"/>
  </r>
  <r>
    <n v="18140"/>
    <x v="0"/>
    <x v="1"/>
    <n v="130000"/>
    <n v="3"/>
    <s v="Partial College"/>
    <x v="2"/>
    <s v="No"/>
    <n v="3"/>
    <s v="5-10 Miles"/>
    <x v="0"/>
    <n v="51"/>
    <s v="Yes"/>
  </r>
  <r>
    <n v="20417"/>
    <x v="0"/>
    <x v="1"/>
    <n v="30000"/>
    <n v="3"/>
    <s v="Partial College"/>
    <x v="1"/>
    <s v="No"/>
    <n v="2"/>
    <s v="5-10 Miles"/>
    <x v="1"/>
    <n v="56"/>
    <s v="No"/>
  </r>
  <r>
    <n v="18267"/>
    <x v="0"/>
    <x v="1"/>
    <n v="60000"/>
    <n v="3"/>
    <s v="Bachelors"/>
    <x v="2"/>
    <s v="Yes"/>
    <n v="2"/>
    <s v="5-10 Miles"/>
    <x v="1"/>
    <n v="43"/>
    <s v="No"/>
  </r>
  <r>
    <n v="13620"/>
    <x v="1"/>
    <x v="1"/>
    <n v="70000"/>
    <n v="0"/>
    <s v="Bachelors"/>
    <x v="2"/>
    <s v="No"/>
    <n v="3"/>
    <s v="10+ Miles"/>
    <x v="1"/>
    <n v="30"/>
    <s v="Yes"/>
  </r>
  <r>
    <n v="22974"/>
    <x v="0"/>
    <x v="0"/>
    <n v="30000"/>
    <n v="2"/>
    <s v="Partial College"/>
    <x v="1"/>
    <s v="Yes"/>
    <n v="2"/>
    <s v="5-10 Miles"/>
    <x v="1"/>
    <n v="69"/>
    <s v="No"/>
  </r>
  <r>
    <n v="13586"/>
    <x v="0"/>
    <x v="1"/>
    <n v="80000"/>
    <n v="4"/>
    <s v="Partial College"/>
    <x v="2"/>
    <s v="Yes"/>
    <n v="2"/>
    <s v="10+ Miles"/>
    <x v="0"/>
    <n v="53"/>
    <s v="No"/>
  </r>
  <r>
    <n v="17978"/>
    <x v="0"/>
    <x v="1"/>
    <n v="40000"/>
    <n v="0"/>
    <s v="Graduate Degree"/>
    <x v="1"/>
    <s v="Yes"/>
    <n v="0"/>
    <s v="0-1 Miles"/>
    <x v="0"/>
    <n v="37"/>
    <s v="Yes"/>
  </r>
  <r>
    <n v="12581"/>
    <x v="1"/>
    <x v="0"/>
    <n v="10000"/>
    <n v="0"/>
    <s v="Partial College"/>
    <x v="3"/>
    <s v="No"/>
    <n v="1"/>
    <s v="0-1 Miles"/>
    <x v="1"/>
    <n v="28"/>
    <s v="Yes"/>
  </r>
  <r>
    <n v="18018"/>
    <x v="1"/>
    <x v="1"/>
    <n v="30000"/>
    <n v="3"/>
    <s v="Partial College"/>
    <x v="1"/>
    <s v="Yes"/>
    <n v="0"/>
    <s v="0-1 Miles"/>
    <x v="0"/>
    <n v="43"/>
    <s v="No"/>
  </r>
  <r>
    <n v="28957"/>
    <x v="1"/>
    <x v="0"/>
    <n v="120000"/>
    <n v="0"/>
    <s v="Partial High School"/>
    <x v="2"/>
    <s v="Yes"/>
    <n v="4"/>
    <s v="10+ Miles"/>
    <x v="1"/>
    <n v="34"/>
    <s v="Yes"/>
  </r>
  <r>
    <n v="13690"/>
    <x v="1"/>
    <x v="0"/>
    <n v="20000"/>
    <n v="0"/>
    <s v="Partial High School"/>
    <x v="3"/>
    <s v="No"/>
    <n v="2"/>
    <s v="1-2 Miles"/>
    <x v="0"/>
    <n v="34"/>
    <s v="Yes"/>
  </r>
  <r>
    <n v="12568"/>
    <x v="0"/>
    <x v="0"/>
    <n v="30000"/>
    <n v="1"/>
    <s v="Bachelors"/>
    <x v="1"/>
    <s v="Yes"/>
    <n v="0"/>
    <s v="0-1 Miles"/>
    <x v="0"/>
    <n v="64"/>
    <s v="No"/>
  </r>
  <r>
    <n v="13122"/>
    <x v="0"/>
    <x v="0"/>
    <n v="80000"/>
    <n v="0"/>
    <s v="Bachelors"/>
    <x v="2"/>
    <s v="Yes"/>
    <n v="1"/>
    <s v="1-2 Miles"/>
    <x v="1"/>
    <n v="41"/>
    <s v="Yes"/>
  </r>
  <r>
    <n v="21184"/>
    <x v="1"/>
    <x v="1"/>
    <n v="70000"/>
    <n v="0"/>
    <s v="Bachelors"/>
    <x v="2"/>
    <s v="No"/>
    <n v="1"/>
    <s v="5-10 Miles"/>
    <x v="1"/>
    <n v="38"/>
    <s v="No"/>
  </r>
  <r>
    <n v="26150"/>
    <x v="1"/>
    <x v="0"/>
    <n v="70000"/>
    <n v="0"/>
    <s v="Bachelors"/>
    <x v="2"/>
    <s v="No"/>
    <n v="1"/>
    <s v="0-1 Miles"/>
    <x v="1"/>
    <n v="41"/>
    <s v="Yes"/>
  </r>
  <r>
    <n v="24151"/>
    <x v="1"/>
    <x v="1"/>
    <n v="20000"/>
    <n v="1"/>
    <s v="Bachelors"/>
    <x v="1"/>
    <s v="No"/>
    <n v="0"/>
    <s v="0-1 Miles"/>
    <x v="0"/>
    <n v="51"/>
    <s v="No"/>
  </r>
  <r>
    <n v="23962"/>
    <x v="0"/>
    <x v="0"/>
    <n v="10000"/>
    <n v="0"/>
    <s v="Partial High School"/>
    <x v="3"/>
    <s v="Yes"/>
    <n v="2"/>
    <s v="1-2 Miles"/>
    <x v="0"/>
    <n v="32"/>
    <s v="No"/>
  </r>
  <r>
    <n v="17793"/>
    <x v="0"/>
    <x v="0"/>
    <n v="40000"/>
    <n v="0"/>
    <s v="Bachelors"/>
    <x v="1"/>
    <s v="Yes"/>
    <n v="0"/>
    <s v="0-1 Miles"/>
    <x v="0"/>
    <n v="38"/>
    <s v="Yes"/>
  </r>
  <r>
    <n v="14926"/>
    <x v="0"/>
    <x v="1"/>
    <n v="30000"/>
    <n v="1"/>
    <s v="Bachelors"/>
    <x v="1"/>
    <s v="Yes"/>
    <n v="0"/>
    <s v="0-1 Miles"/>
    <x v="0"/>
    <n v="38"/>
    <s v="Yes"/>
  </r>
  <r>
    <n v="16163"/>
    <x v="1"/>
    <x v="1"/>
    <n v="60000"/>
    <n v="2"/>
    <s v="Bachelors"/>
    <x v="2"/>
    <s v="Yes"/>
    <n v="1"/>
    <s v="2-5 Miles"/>
    <x v="1"/>
    <n v="38"/>
    <s v="Yes"/>
  </r>
  <r>
    <n v="21365"/>
    <x v="0"/>
    <x v="0"/>
    <n v="10000"/>
    <n v="2"/>
    <s v="Partial High School"/>
    <x v="1"/>
    <s v="Yes"/>
    <n v="2"/>
    <s v="5-10 Miles"/>
    <x v="1"/>
    <n v="58"/>
    <s v="No"/>
  </r>
  <r>
    <n v="27771"/>
    <x v="1"/>
    <x v="1"/>
    <n v="30000"/>
    <n v="1"/>
    <s v="Bachelors"/>
    <x v="1"/>
    <s v="Yes"/>
    <n v="1"/>
    <s v="1-2 Miles"/>
    <x v="0"/>
    <n v="39"/>
    <s v="Yes"/>
  </r>
  <r>
    <n v="26167"/>
    <x v="1"/>
    <x v="0"/>
    <n v="40000"/>
    <n v="2"/>
    <s v="Bachelors"/>
    <x v="4"/>
    <s v="No"/>
    <n v="1"/>
    <s v="5-10 Miles"/>
    <x v="1"/>
    <n v="53"/>
    <s v="Yes"/>
  </r>
  <r>
    <n v="25792"/>
    <x v="1"/>
    <x v="0"/>
    <n v="110000"/>
    <n v="3"/>
    <s v="Bachelors"/>
    <x v="4"/>
    <s v="Yes"/>
    <n v="4"/>
    <s v="10+ Miles"/>
    <x v="0"/>
    <n v="53"/>
    <s v="No"/>
  </r>
  <r>
    <n v="11555"/>
    <x v="0"/>
    <x v="0"/>
    <n v="40000"/>
    <n v="1"/>
    <s v="Bachelors"/>
    <x v="1"/>
    <s v="Yes"/>
    <n v="0"/>
    <s v="0-1 Miles"/>
    <x v="0"/>
    <n v="80"/>
    <s v="No"/>
  </r>
  <r>
    <n v="22381"/>
    <x v="0"/>
    <x v="1"/>
    <n v="10000"/>
    <n v="1"/>
    <s v="Graduate Degree"/>
    <x v="3"/>
    <s v="Yes"/>
    <n v="0"/>
    <s v="0-1 Miles"/>
    <x v="0"/>
    <n v="44"/>
    <s v="No"/>
  </r>
  <r>
    <n v="17882"/>
    <x v="0"/>
    <x v="1"/>
    <n v="20000"/>
    <n v="1"/>
    <s v="Graduate Degree"/>
    <x v="1"/>
    <s v="Yes"/>
    <n v="0"/>
    <s v="0-1 Miles"/>
    <x v="0"/>
    <n v="44"/>
    <s v="No"/>
  </r>
  <r>
    <n v="22174"/>
    <x v="0"/>
    <x v="1"/>
    <n v="30000"/>
    <n v="3"/>
    <s v="High School"/>
    <x v="0"/>
    <s v="Yes"/>
    <n v="2"/>
    <s v="5-10 Miles"/>
    <x v="1"/>
    <n v="54"/>
    <s v="Yes"/>
  </r>
  <r>
    <n v="22439"/>
    <x v="0"/>
    <x v="0"/>
    <n v="30000"/>
    <n v="0"/>
    <s v="Bachelors"/>
    <x v="1"/>
    <s v="Yes"/>
    <n v="0"/>
    <s v="0-1 Miles"/>
    <x v="0"/>
    <n v="37"/>
    <s v="Yes"/>
  </r>
  <r>
    <n v="18012"/>
    <x v="0"/>
    <x v="0"/>
    <n v="40000"/>
    <n v="1"/>
    <s v="Bachelors"/>
    <x v="0"/>
    <s v="Yes"/>
    <n v="0"/>
    <s v="0-1 Miles"/>
    <x v="0"/>
    <n v="41"/>
    <s v="No"/>
  </r>
  <r>
    <n v="27582"/>
    <x v="1"/>
    <x v="0"/>
    <n v="90000"/>
    <n v="2"/>
    <s v="Bachelors"/>
    <x v="2"/>
    <s v="No"/>
    <n v="0"/>
    <s v="0-1 Miles"/>
    <x v="1"/>
    <n v="36"/>
    <s v="Yes"/>
  </r>
  <r>
    <n v="12744"/>
    <x v="1"/>
    <x v="0"/>
    <n v="40000"/>
    <n v="2"/>
    <s v="Partial College"/>
    <x v="1"/>
    <s v="Yes"/>
    <n v="0"/>
    <s v="0-1 Miles"/>
    <x v="0"/>
    <n v="33"/>
    <s v="No"/>
  </r>
  <r>
    <n v="22821"/>
    <x v="0"/>
    <x v="0"/>
    <n v="130000"/>
    <n v="3"/>
    <s v="Partial College"/>
    <x v="2"/>
    <s v="Yes"/>
    <n v="4"/>
    <s v="0-1 Miles"/>
    <x v="0"/>
    <n v="52"/>
    <s v="No"/>
  </r>
  <r>
    <n v="20171"/>
    <x v="0"/>
    <x v="0"/>
    <n v="20000"/>
    <n v="2"/>
    <s v="Partial College"/>
    <x v="3"/>
    <s v="Yes"/>
    <n v="1"/>
    <s v="0-1 Miles"/>
    <x v="0"/>
    <n v="46"/>
    <s v="Yes"/>
  </r>
  <r>
    <n v="11116"/>
    <x v="0"/>
    <x v="1"/>
    <n v="70000"/>
    <n v="5"/>
    <s v="Partial College"/>
    <x v="0"/>
    <s v="Yes"/>
    <n v="2"/>
    <s v="5-10 Miles"/>
    <x v="1"/>
    <n v="43"/>
    <s v="No"/>
  </r>
  <r>
    <n v="20053"/>
    <x v="1"/>
    <x v="1"/>
    <n v="40000"/>
    <n v="2"/>
    <s v="Partial College"/>
    <x v="1"/>
    <s v="Yes"/>
    <n v="0"/>
    <s v="0-1 Miles"/>
    <x v="0"/>
    <n v="34"/>
    <s v="No"/>
  </r>
  <r>
    <n v="25266"/>
    <x v="1"/>
    <x v="0"/>
    <n v="30000"/>
    <n v="2"/>
    <s v="Partial College"/>
    <x v="1"/>
    <s v="No"/>
    <n v="2"/>
    <s v="5-10 Miles"/>
    <x v="1"/>
    <n v="67"/>
    <s v="No"/>
  </r>
  <r>
    <n v="17960"/>
    <x v="0"/>
    <x v="0"/>
    <n v="40000"/>
    <n v="0"/>
    <s v="Graduate Degree"/>
    <x v="1"/>
    <s v="Yes"/>
    <n v="0"/>
    <s v="0-1 Miles"/>
    <x v="0"/>
    <n v="35"/>
    <s v="Yes"/>
  </r>
  <r>
    <n v="13961"/>
    <x v="0"/>
    <x v="0"/>
    <n v="80000"/>
    <n v="5"/>
    <s v="Graduate Degree"/>
    <x v="4"/>
    <s v="Yes"/>
    <n v="3"/>
    <s v="0-1 Miles"/>
    <x v="1"/>
    <n v="40"/>
    <s v="No"/>
  </r>
  <r>
    <n v="11897"/>
    <x v="1"/>
    <x v="1"/>
    <n v="60000"/>
    <n v="2"/>
    <s v="Bachelors"/>
    <x v="2"/>
    <s v="No"/>
    <n v="1"/>
    <s v="0-1 Miles"/>
    <x v="1"/>
    <n v="37"/>
    <s v="Yes"/>
  </r>
  <r>
    <n v="11139"/>
    <x v="1"/>
    <x v="0"/>
    <n v="30000"/>
    <n v="2"/>
    <s v="Partial College"/>
    <x v="1"/>
    <s v="No"/>
    <n v="2"/>
    <s v="5-10 Miles"/>
    <x v="1"/>
    <n v="67"/>
    <s v="No"/>
  </r>
  <r>
    <n v="11576"/>
    <x v="0"/>
    <x v="1"/>
    <n v="30000"/>
    <n v="1"/>
    <s v="Bachelors"/>
    <x v="0"/>
    <s v="Yes"/>
    <n v="2"/>
    <s v="0-1 Miles"/>
    <x v="0"/>
    <n v="41"/>
    <s v="Yes"/>
  </r>
  <r>
    <n v="19255"/>
    <x v="1"/>
    <x v="1"/>
    <n v="10000"/>
    <n v="2"/>
    <s v="Partial College"/>
    <x v="3"/>
    <s v="Yes"/>
    <n v="1"/>
    <s v="0-1 Miles"/>
    <x v="0"/>
    <n v="51"/>
    <s v="Yes"/>
  </r>
  <r>
    <n v="18153"/>
    <x v="0"/>
    <x v="0"/>
    <n v="100000"/>
    <n v="2"/>
    <s v="Bachelors"/>
    <x v="4"/>
    <s v="Yes"/>
    <n v="4"/>
    <s v="10+ Miles"/>
    <x v="0"/>
    <n v="59"/>
    <s v="No"/>
  </r>
  <r>
    <n v="14547"/>
    <x v="0"/>
    <x v="1"/>
    <n v="10000"/>
    <n v="2"/>
    <s v="Partial College"/>
    <x v="3"/>
    <s v="Yes"/>
    <n v="0"/>
    <s v="1-2 Miles"/>
    <x v="0"/>
    <n v="51"/>
    <s v="No"/>
  </r>
  <r>
    <n v="24901"/>
    <x v="1"/>
    <x v="1"/>
    <n v="110000"/>
    <n v="0"/>
    <s v="Partial College"/>
    <x v="4"/>
    <s v="No"/>
    <n v="3"/>
    <s v="10+ Miles"/>
    <x v="1"/>
    <n v="32"/>
    <s v="Yes"/>
  </r>
  <r>
    <n v="27169"/>
    <x v="1"/>
    <x v="1"/>
    <n v="30000"/>
    <n v="0"/>
    <s v="High School"/>
    <x v="3"/>
    <s v="Yes"/>
    <n v="1"/>
    <s v="2-5 Miles"/>
    <x v="0"/>
    <n v="34"/>
    <s v="Yes"/>
  </r>
  <r>
    <n v="14805"/>
    <x v="1"/>
    <x v="0"/>
    <n v="10000"/>
    <n v="3"/>
    <s v="Partial High School"/>
    <x v="3"/>
    <s v="Yes"/>
    <n v="2"/>
    <s v="0-1 Miles"/>
    <x v="0"/>
    <n v="43"/>
    <s v="No"/>
  </r>
  <r>
    <n v="15822"/>
    <x v="0"/>
    <x v="1"/>
    <n v="40000"/>
    <n v="2"/>
    <s v="Bachelors"/>
    <x v="4"/>
    <s v="Yes"/>
    <n v="2"/>
    <s v="0-1 Miles"/>
    <x v="1"/>
    <n v="67"/>
    <s v="No"/>
  </r>
  <r>
    <n v="19389"/>
    <x v="1"/>
    <x v="1"/>
    <n v="30000"/>
    <n v="0"/>
    <s v="Partial College"/>
    <x v="1"/>
    <s v="No"/>
    <n v="1"/>
    <s v="2-5 Miles"/>
    <x v="0"/>
    <n v="28"/>
    <s v="No"/>
  </r>
  <r>
    <n v="17048"/>
    <x v="1"/>
    <x v="0"/>
    <n v="90000"/>
    <n v="1"/>
    <s v="Graduate Degree"/>
    <x v="4"/>
    <s v="Yes"/>
    <n v="0"/>
    <s v="0-1 Miles"/>
    <x v="1"/>
    <n v="36"/>
    <s v="Yes"/>
  </r>
  <r>
    <n v="22204"/>
    <x v="0"/>
    <x v="1"/>
    <n v="110000"/>
    <n v="4"/>
    <s v="Bachelors"/>
    <x v="4"/>
    <s v="Yes"/>
    <n v="3"/>
    <s v="2-5 Miles"/>
    <x v="1"/>
    <n v="48"/>
    <s v="No"/>
  </r>
  <r>
    <n v="12718"/>
    <x v="1"/>
    <x v="0"/>
    <n v="30000"/>
    <n v="0"/>
    <s v="Partial College"/>
    <x v="1"/>
    <s v="Yes"/>
    <n v="1"/>
    <s v="2-5 Miles"/>
    <x v="0"/>
    <n v="31"/>
    <s v="No"/>
  </r>
  <r>
    <n v="15019"/>
    <x v="1"/>
    <x v="0"/>
    <n v="30000"/>
    <n v="3"/>
    <s v="High School"/>
    <x v="0"/>
    <s v="Yes"/>
    <n v="2"/>
    <s v="5-10 Miles"/>
    <x v="1"/>
    <n v="55"/>
    <s v="No"/>
  </r>
  <r>
    <n v="28488"/>
    <x v="1"/>
    <x v="1"/>
    <n v="20000"/>
    <n v="0"/>
    <s v="Partial College"/>
    <x v="3"/>
    <s v="Yes"/>
    <n v="0"/>
    <s v="0-1 Miles"/>
    <x v="1"/>
    <n v="28"/>
    <s v="Yes"/>
  </r>
  <r>
    <n v="21891"/>
    <x v="0"/>
    <x v="0"/>
    <n v="110000"/>
    <n v="0"/>
    <s v="High School"/>
    <x v="4"/>
    <s v="Yes"/>
    <n v="3"/>
    <s v="10+ Miles"/>
    <x v="1"/>
    <n v="34"/>
    <s v="Yes"/>
  </r>
  <r>
    <n v="27814"/>
    <x v="1"/>
    <x v="0"/>
    <n v="30000"/>
    <n v="3"/>
    <s v="Partial College"/>
    <x v="1"/>
    <s v="No"/>
    <n v="1"/>
    <s v="0-1 Miles"/>
    <x v="0"/>
    <n v="26"/>
    <s v="No"/>
  </r>
  <r>
    <n v="22175"/>
    <x v="0"/>
    <x v="0"/>
    <n v="30000"/>
    <n v="3"/>
    <s v="High School"/>
    <x v="0"/>
    <s v="Yes"/>
    <n v="2"/>
    <s v="5-10 Miles"/>
    <x v="1"/>
    <n v="53"/>
    <s v="Yes"/>
  </r>
  <r>
    <n v="29447"/>
    <x v="1"/>
    <x v="0"/>
    <n v="10000"/>
    <n v="2"/>
    <s v="Bachelors"/>
    <x v="1"/>
    <s v="No"/>
    <n v="1"/>
    <s v="2-5 Miles"/>
    <x v="0"/>
    <n v="68"/>
    <s v="No"/>
  </r>
  <r>
    <n v="19784"/>
    <x v="0"/>
    <x v="0"/>
    <n v="80000"/>
    <n v="2"/>
    <s v="High School"/>
    <x v="0"/>
    <s v="Yes"/>
    <n v="2"/>
    <s v="5-10 Miles"/>
    <x v="1"/>
    <n v="50"/>
    <s v="Yes"/>
  </r>
  <r>
    <n v="27824"/>
    <x v="1"/>
    <x v="0"/>
    <n v="30000"/>
    <n v="3"/>
    <s v="Partial College"/>
    <x v="1"/>
    <s v="Yes"/>
    <n v="2"/>
    <s v="0-1 Miles"/>
    <x v="0"/>
    <n v="28"/>
    <s v="Yes"/>
  </r>
  <r>
    <n v="24093"/>
    <x v="1"/>
    <x v="0"/>
    <n v="80000"/>
    <n v="0"/>
    <s v="Graduate Degree"/>
    <x v="0"/>
    <s v="No"/>
    <n v="0"/>
    <s v="0-1 Miles"/>
    <x v="0"/>
    <n v="40"/>
    <s v="Yes"/>
  </r>
  <r>
    <n v="19618"/>
    <x v="0"/>
    <x v="1"/>
    <n v="70000"/>
    <n v="5"/>
    <s v="Partial College"/>
    <x v="0"/>
    <s v="Yes"/>
    <n v="2"/>
    <s v="0-1 Miles"/>
    <x v="1"/>
    <n v="44"/>
    <s v="No"/>
  </r>
  <r>
    <n v="21561"/>
    <x v="1"/>
    <x v="1"/>
    <n v="90000"/>
    <n v="0"/>
    <s v="Bachelors"/>
    <x v="2"/>
    <s v="No"/>
    <n v="3"/>
    <s v="10+ Miles"/>
    <x v="1"/>
    <n v="34"/>
    <s v="Yes"/>
  </r>
  <r>
    <n v="11061"/>
    <x v="0"/>
    <x v="1"/>
    <n v="70000"/>
    <n v="2"/>
    <s v="Partial College"/>
    <x v="0"/>
    <s v="Yes"/>
    <n v="2"/>
    <s v="5-10 Miles"/>
    <x v="1"/>
    <n v="52"/>
    <s v="Yes"/>
  </r>
  <r>
    <n v="26651"/>
    <x v="1"/>
    <x v="1"/>
    <n v="80000"/>
    <n v="4"/>
    <s v="Graduate Degree"/>
    <x v="4"/>
    <s v="Yes"/>
    <n v="0"/>
    <s v="0-1 Miles"/>
    <x v="1"/>
    <n v="36"/>
    <s v="Yes"/>
  </r>
  <r>
    <n v="21108"/>
    <x v="0"/>
    <x v="0"/>
    <n v="40000"/>
    <n v="1"/>
    <s v="Bachelors"/>
    <x v="0"/>
    <s v="Yes"/>
    <n v="1"/>
    <s v="0-1 Miles"/>
    <x v="0"/>
    <n v="43"/>
    <s v="Yes"/>
  </r>
  <r>
    <n v="12731"/>
    <x v="1"/>
    <x v="1"/>
    <n v="30000"/>
    <n v="0"/>
    <s v="High School"/>
    <x v="3"/>
    <s v="No"/>
    <n v="1"/>
    <s v="1-2 Miles"/>
    <x v="0"/>
    <n v="32"/>
    <s v="No"/>
  </r>
  <r>
    <n v="25307"/>
    <x v="0"/>
    <x v="0"/>
    <n v="40000"/>
    <n v="1"/>
    <s v="Bachelors"/>
    <x v="0"/>
    <s v="Yes"/>
    <n v="1"/>
    <s v="1-2 Miles"/>
    <x v="0"/>
    <n v="32"/>
    <s v="Yes"/>
  </r>
  <r>
    <n v="14278"/>
    <x v="0"/>
    <x v="0"/>
    <n v="130000"/>
    <n v="0"/>
    <s v="Graduate Degree"/>
    <x v="4"/>
    <s v="Yes"/>
    <n v="1"/>
    <s v="10+ Miles"/>
    <x v="1"/>
    <n v="48"/>
    <s v="No"/>
  </r>
  <r>
    <n v="20711"/>
    <x v="0"/>
    <x v="0"/>
    <n v="40000"/>
    <n v="1"/>
    <s v="Bachelors"/>
    <x v="0"/>
    <s v="Yes"/>
    <n v="0"/>
    <s v="1-2 Miles"/>
    <x v="0"/>
    <n v="32"/>
    <s v="Yes"/>
  </r>
  <r>
    <n v="11383"/>
    <x v="0"/>
    <x v="0"/>
    <n v="30000"/>
    <n v="3"/>
    <s v="Graduate Degree"/>
    <x v="1"/>
    <s v="Yes"/>
    <n v="0"/>
    <s v="0-1 Miles"/>
    <x v="0"/>
    <n v="46"/>
    <s v="No"/>
  </r>
  <r>
    <n v="12497"/>
    <x v="0"/>
    <x v="0"/>
    <n v="40000"/>
    <n v="1"/>
    <s v="Bachelors"/>
    <x v="0"/>
    <s v="Yes"/>
    <n v="0"/>
    <s v="0-1 Miles"/>
    <x v="0"/>
    <n v="42"/>
    <s v="No"/>
  </r>
  <r>
    <n v="16559"/>
    <x v="1"/>
    <x v="0"/>
    <n v="10000"/>
    <n v="2"/>
    <s v="High School"/>
    <x v="3"/>
    <s v="Yes"/>
    <n v="0"/>
    <s v="0-1 Miles"/>
    <x v="0"/>
    <n v="36"/>
    <s v="Yes"/>
  </r>
  <r>
    <n v="11585"/>
    <x v="0"/>
    <x v="0"/>
    <n v="40000"/>
    <n v="1"/>
    <s v="Bachelors"/>
    <x v="0"/>
    <s v="Yes"/>
    <n v="0"/>
    <s v="0-1 Miles"/>
    <x v="0"/>
    <n v="41"/>
    <s v="No"/>
  </r>
  <r>
    <n v="20277"/>
    <x v="0"/>
    <x v="0"/>
    <n v="30000"/>
    <n v="2"/>
    <s v="Partial College"/>
    <x v="1"/>
    <s v="No"/>
    <n v="2"/>
    <s v="0-1 Miles"/>
    <x v="1"/>
    <n v="69"/>
    <s v="No"/>
  </r>
  <r>
    <n v="26765"/>
    <x v="1"/>
    <x v="0"/>
    <n v="70000"/>
    <n v="5"/>
    <s v="Partial College"/>
    <x v="0"/>
    <s v="Yes"/>
    <n v="2"/>
    <s v="5-10 Miles"/>
    <x v="1"/>
    <n v="45"/>
    <s v="No"/>
  </r>
  <r>
    <n v="12389"/>
    <x v="1"/>
    <x v="1"/>
    <n v="30000"/>
    <n v="0"/>
    <s v="High School"/>
    <x v="3"/>
    <s v="No"/>
    <n v="1"/>
    <s v="2-5 Miles"/>
    <x v="0"/>
    <n v="34"/>
    <s v="No"/>
  </r>
  <r>
    <n v="13585"/>
    <x v="0"/>
    <x v="0"/>
    <n v="80000"/>
    <n v="4"/>
    <s v="Partial College"/>
    <x v="2"/>
    <s v="No"/>
    <n v="1"/>
    <s v="2-5 Miles"/>
    <x v="0"/>
    <n v="53"/>
    <s v="Yes"/>
  </r>
  <r>
    <n v="26385"/>
    <x v="1"/>
    <x v="1"/>
    <n v="120000"/>
    <n v="3"/>
    <s v="High School"/>
    <x v="2"/>
    <s v="No"/>
    <n v="4"/>
    <s v="5-10 Miles"/>
    <x v="0"/>
    <n v="50"/>
    <s v="No"/>
  </r>
  <r>
    <n v="12236"/>
    <x v="0"/>
    <x v="0"/>
    <n v="20000"/>
    <n v="1"/>
    <s v="Partial College"/>
    <x v="3"/>
    <s v="Yes"/>
    <n v="0"/>
    <s v="0-1 Miles"/>
    <x v="0"/>
    <n v="65"/>
    <s v="No"/>
  </r>
  <r>
    <n v="21560"/>
    <x v="0"/>
    <x v="1"/>
    <n v="120000"/>
    <n v="0"/>
    <s v="Partial High School"/>
    <x v="2"/>
    <s v="Yes"/>
    <n v="4"/>
    <s v="10+ Miles"/>
    <x v="1"/>
    <n v="32"/>
    <s v="Yes"/>
  </r>
  <r>
    <n v="21554"/>
    <x v="1"/>
    <x v="0"/>
    <n v="80000"/>
    <n v="0"/>
    <s v="Bachelors"/>
    <x v="2"/>
    <s v="No"/>
    <n v="3"/>
    <s v="10+ Miles"/>
    <x v="1"/>
    <n v="33"/>
    <s v="No"/>
  </r>
  <r>
    <n v="13662"/>
    <x v="1"/>
    <x v="1"/>
    <n v="20000"/>
    <n v="0"/>
    <s v="Partial High School"/>
    <x v="3"/>
    <s v="Yes"/>
    <n v="2"/>
    <s v="1-2 Miles"/>
    <x v="0"/>
    <n v="31"/>
    <s v="Yes"/>
  </r>
  <r>
    <n v="13089"/>
    <x v="0"/>
    <x v="0"/>
    <n v="120000"/>
    <n v="1"/>
    <s v="Bachelors"/>
    <x v="4"/>
    <s v="Yes"/>
    <n v="2"/>
    <s v="0-1 Miles"/>
    <x v="1"/>
    <n v="46"/>
    <s v="Yes"/>
  </r>
  <r>
    <n v="14791"/>
    <x v="0"/>
    <x v="0"/>
    <n v="40000"/>
    <n v="0"/>
    <s v="Bachelors"/>
    <x v="1"/>
    <s v="Yes"/>
    <n v="0"/>
    <s v="0-1 Miles"/>
    <x v="0"/>
    <n v="39"/>
    <s v="Yes"/>
  </r>
  <r>
    <n v="19331"/>
    <x v="1"/>
    <x v="1"/>
    <n v="20000"/>
    <n v="2"/>
    <s v="High School"/>
    <x v="3"/>
    <s v="Yes"/>
    <n v="1"/>
    <s v="0-1 Miles"/>
    <x v="0"/>
    <n v="40"/>
    <s v="No"/>
  </r>
  <r>
    <n v="17754"/>
    <x v="1"/>
    <x v="0"/>
    <n v="30000"/>
    <n v="3"/>
    <s v="Bachelors"/>
    <x v="1"/>
    <s v="Yes"/>
    <n v="0"/>
    <s v="0-1 Miles"/>
    <x v="0"/>
    <n v="46"/>
    <s v="Yes"/>
  </r>
  <r>
    <n v="11149"/>
    <x v="0"/>
    <x v="1"/>
    <n v="40000"/>
    <n v="2"/>
    <s v="Bachelors"/>
    <x v="4"/>
    <s v="Yes"/>
    <n v="2"/>
    <s v="0-1 Miles"/>
    <x v="1"/>
    <n v="65"/>
    <s v="No"/>
  </r>
  <r>
    <n v="16549"/>
    <x v="1"/>
    <x v="0"/>
    <n v="30000"/>
    <n v="3"/>
    <s v="Bachelors"/>
    <x v="1"/>
    <s v="Yes"/>
    <n v="0"/>
    <s v="0-1 Miles"/>
    <x v="0"/>
    <n v="47"/>
    <s v="Yes"/>
  </r>
  <r>
    <n v="24305"/>
    <x v="1"/>
    <x v="1"/>
    <n v="100000"/>
    <n v="1"/>
    <s v="Bachelors"/>
    <x v="4"/>
    <s v="No"/>
    <n v="3"/>
    <s v="0-1 Miles"/>
    <x v="1"/>
    <n v="46"/>
    <s v="Yes"/>
  </r>
  <r>
    <n v="18253"/>
    <x v="0"/>
    <x v="0"/>
    <n v="80000"/>
    <n v="5"/>
    <s v="Graduate Degree"/>
    <x v="4"/>
    <s v="Yes"/>
    <n v="3"/>
    <s v="0-1 Miles"/>
    <x v="1"/>
    <n v="40"/>
    <s v="No"/>
  </r>
  <r>
    <n v="20147"/>
    <x v="0"/>
    <x v="0"/>
    <n v="30000"/>
    <n v="1"/>
    <s v="Bachelors"/>
    <x v="1"/>
    <s v="Yes"/>
    <n v="0"/>
    <s v="0-1 Miles"/>
    <x v="0"/>
    <n v="65"/>
    <s v="No"/>
  </r>
  <r>
    <n v="15612"/>
    <x v="1"/>
    <x v="1"/>
    <n v="30000"/>
    <n v="0"/>
    <s v="High School"/>
    <x v="3"/>
    <s v="No"/>
    <n v="1"/>
    <s v="1-2 Miles"/>
    <x v="0"/>
    <n v="28"/>
    <s v="No"/>
  </r>
  <r>
    <n v="28323"/>
    <x v="1"/>
    <x v="1"/>
    <n v="70000"/>
    <n v="0"/>
    <s v="Bachelors"/>
    <x v="2"/>
    <s v="No"/>
    <n v="2"/>
    <s v="5-10 Miles"/>
    <x v="1"/>
    <n v="43"/>
    <s v="Yes"/>
  </r>
  <r>
    <n v="22634"/>
    <x v="1"/>
    <x v="0"/>
    <n v="40000"/>
    <n v="0"/>
    <s v="Graduate Degree"/>
    <x v="1"/>
    <s v="Yes"/>
    <n v="0"/>
    <s v="0-1 Miles"/>
    <x v="0"/>
    <n v="38"/>
    <s v="Yes"/>
  </r>
  <r>
    <n v="15665"/>
    <x v="0"/>
    <x v="0"/>
    <n v="30000"/>
    <n v="0"/>
    <s v="Bachelors"/>
    <x v="1"/>
    <s v="Yes"/>
    <n v="0"/>
    <s v="0-1 Miles"/>
    <x v="0"/>
    <n v="47"/>
    <s v="Yes"/>
  </r>
  <r>
    <n v="27585"/>
    <x v="0"/>
    <x v="0"/>
    <n v="90000"/>
    <n v="2"/>
    <s v="Bachelors"/>
    <x v="2"/>
    <s v="No"/>
    <n v="0"/>
    <s v="0-1 Miles"/>
    <x v="1"/>
    <n v="36"/>
    <s v="Yes"/>
  </r>
  <r>
    <n v="19748"/>
    <x v="0"/>
    <x v="1"/>
    <n v="20000"/>
    <n v="4"/>
    <s v="High School"/>
    <x v="0"/>
    <s v="No"/>
    <n v="2"/>
    <s v="1-2 Miles"/>
    <x v="1"/>
    <n v="60"/>
    <s v="No"/>
  </r>
  <r>
    <n v="21974"/>
    <x v="1"/>
    <x v="0"/>
    <n v="70000"/>
    <n v="0"/>
    <s v="Bachelors"/>
    <x v="2"/>
    <s v="Yes"/>
    <n v="1"/>
    <s v="5-10 Miles"/>
    <x v="1"/>
    <n v="42"/>
    <s v="Yes"/>
  </r>
  <r>
    <n v="14032"/>
    <x v="0"/>
    <x v="1"/>
    <n v="70000"/>
    <n v="2"/>
    <s v="High School"/>
    <x v="0"/>
    <s v="No"/>
    <n v="2"/>
    <s v="1-2 Miles"/>
    <x v="1"/>
    <n v="50"/>
    <s v="Yes"/>
  </r>
  <r>
    <n v="22610"/>
    <x v="0"/>
    <x v="1"/>
    <n v="30000"/>
    <n v="0"/>
    <s v="Bachelors"/>
    <x v="1"/>
    <s v="Yes"/>
    <n v="0"/>
    <s v="0-1 Miles"/>
    <x v="0"/>
    <n v="35"/>
    <s v="Yes"/>
  </r>
  <r>
    <n v="26984"/>
    <x v="0"/>
    <x v="1"/>
    <n v="40000"/>
    <n v="1"/>
    <s v="Bachelors"/>
    <x v="0"/>
    <s v="Yes"/>
    <n v="1"/>
    <s v="0-1 Miles"/>
    <x v="0"/>
    <n v="32"/>
    <s v="Yes"/>
  </r>
  <r>
    <n v="18294"/>
    <x v="0"/>
    <x v="0"/>
    <n v="90000"/>
    <n v="1"/>
    <s v="Bachelors"/>
    <x v="2"/>
    <s v="Yes"/>
    <n v="1"/>
    <s v="5-10 Miles"/>
    <x v="1"/>
    <n v="46"/>
    <s v="No"/>
  </r>
  <r>
    <n v="28564"/>
    <x v="1"/>
    <x v="0"/>
    <n v="40000"/>
    <n v="2"/>
    <s v="Partial College"/>
    <x v="1"/>
    <s v="Yes"/>
    <n v="0"/>
    <s v="1-2 Miles"/>
    <x v="0"/>
    <n v="33"/>
    <s v="Yes"/>
  </r>
  <r>
    <n v="28521"/>
    <x v="1"/>
    <x v="1"/>
    <n v="40000"/>
    <n v="0"/>
    <s v="Graduate Degree"/>
    <x v="1"/>
    <s v="No"/>
    <n v="0"/>
    <s v="0-1 Miles"/>
    <x v="0"/>
    <n v="36"/>
    <s v="Yes"/>
  </r>
  <r>
    <n v="15450"/>
    <x v="0"/>
    <x v="1"/>
    <n v="10000"/>
    <n v="1"/>
    <s v="Graduate Degree"/>
    <x v="1"/>
    <s v="Yes"/>
    <n v="0"/>
    <s v="0-1 Miles"/>
    <x v="0"/>
    <n v="70"/>
    <s v="No"/>
  </r>
  <r>
    <n v="25681"/>
    <x v="1"/>
    <x v="0"/>
    <n v="30000"/>
    <n v="0"/>
    <s v="Partial College"/>
    <x v="1"/>
    <s v="No"/>
    <n v="1"/>
    <s v="2-5 Miles"/>
    <x v="0"/>
    <n v="31"/>
    <s v="Yes"/>
  </r>
  <r>
    <n v="19491"/>
    <x v="1"/>
    <x v="1"/>
    <n v="30000"/>
    <n v="2"/>
    <s v="Partial College"/>
    <x v="1"/>
    <s v="Yes"/>
    <n v="2"/>
    <s v="0-1 Miles"/>
    <x v="0"/>
    <n v="42"/>
    <s v="No"/>
  </r>
  <r>
    <n v="26415"/>
    <x v="0"/>
    <x v="0"/>
    <n v="90000"/>
    <n v="4"/>
    <s v="Partial High School"/>
    <x v="0"/>
    <s v="Yes"/>
    <n v="4"/>
    <s v="10+ Miles"/>
    <x v="0"/>
    <n v="58"/>
    <s v="No"/>
  </r>
  <r>
    <n v="12821"/>
    <x v="0"/>
    <x v="1"/>
    <n v="40000"/>
    <n v="0"/>
    <s v="Bachelors"/>
    <x v="1"/>
    <s v="Yes"/>
    <n v="0"/>
    <s v="0-1 Miles"/>
    <x v="0"/>
    <n v="39"/>
    <s v="No"/>
  </r>
  <r>
    <n v="15629"/>
    <x v="1"/>
    <x v="0"/>
    <n v="10000"/>
    <n v="0"/>
    <s v="Partial High School"/>
    <x v="3"/>
    <s v="Yes"/>
    <n v="2"/>
    <s v="1-2 Miles"/>
    <x v="0"/>
    <n v="34"/>
    <s v="No"/>
  </r>
  <r>
    <n v="27835"/>
    <x v="0"/>
    <x v="1"/>
    <n v="20000"/>
    <n v="0"/>
    <s v="Partial High School"/>
    <x v="3"/>
    <s v="Yes"/>
    <n v="2"/>
    <s v="0-1 Miles"/>
    <x v="0"/>
    <n v="32"/>
    <s v="No"/>
  </r>
  <r>
    <n v="11738"/>
    <x v="0"/>
    <x v="1"/>
    <n v="60000"/>
    <n v="4"/>
    <s v="Bachelors"/>
    <x v="2"/>
    <s v="Yes"/>
    <n v="0"/>
    <s v="2-5 Miles"/>
    <x v="2"/>
    <n v="46"/>
    <s v="No"/>
  </r>
  <r>
    <n v="25065"/>
    <x v="0"/>
    <x v="1"/>
    <n v="70000"/>
    <n v="2"/>
    <s v="Partial High School"/>
    <x v="0"/>
    <s v="Yes"/>
    <n v="2"/>
    <s v="5-10 Miles"/>
    <x v="2"/>
    <n v="48"/>
    <s v="No"/>
  </r>
  <r>
    <n v="26238"/>
    <x v="1"/>
    <x v="0"/>
    <n v="40000"/>
    <n v="3"/>
    <s v="Partial College"/>
    <x v="1"/>
    <s v="Yes"/>
    <n v="1"/>
    <s v="1-2 Miles"/>
    <x v="2"/>
    <n v="31"/>
    <s v="Yes"/>
  </r>
  <r>
    <n v="23707"/>
    <x v="1"/>
    <x v="1"/>
    <n v="70000"/>
    <n v="5"/>
    <s v="Bachelors"/>
    <x v="4"/>
    <s v="Yes"/>
    <n v="3"/>
    <s v="10+ Miles"/>
    <x v="2"/>
    <n v="60"/>
    <s v="Yes"/>
  </r>
  <r>
    <n v="27650"/>
    <x v="0"/>
    <x v="1"/>
    <n v="70000"/>
    <n v="4"/>
    <s v="High School"/>
    <x v="2"/>
    <s v="Yes"/>
    <n v="0"/>
    <s v="5-10 Miles"/>
    <x v="2"/>
    <n v="51"/>
    <s v="No"/>
  </r>
  <r>
    <n v="24981"/>
    <x v="0"/>
    <x v="1"/>
    <n v="60000"/>
    <n v="2"/>
    <s v="Partial College"/>
    <x v="2"/>
    <s v="Yes"/>
    <n v="2"/>
    <s v="10+ Miles"/>
    <x v="2"/>
    <n v="56"/>
    <s v="No"/>
  </r>
  <r>
    <n v="20678"/>
    <x v="1"/>
    <x v="0"/>
    <n v="60000"/>
    <n v="3"/>
    <s v="Bachelors"/>
    <x v="0"/>
    <s v="Yes"/>
    <n v="1"/>
    <s v="2-5 Miles"/>
    <x v="2"/>
    <n v="40"/>
    <s v="Yes"/>
  </r>
  <r>
    <n v="15302"/>
    <x v="1"/>
    <x v="0"/>
    <n v="70000"/>
    <n v="1"/>
    <s v="Graduate Degree"/>
    <x v="2"/>
    <s v="Yes"/>
    <n v="0"/>
    <s v="2-5 Miles"/>
    <x v="2"/>
    <n v="34"/>
    <s v="Yes"/>
  </r>
  <r>
    <n v="26012"/>
    <x v="0"/>
    <x v="1"/>
    <n v="80000"/>
    <n v="1"/>
    <s v="Partial College"/>
    <x v="0"/>
    <s v="Yes"/>
    <n v="1"/>
    <s v="2-5 Miles"/>
    <x v="2"/>
    <n v="48"/>
    <s v="Yes"/>
  </r>
  <r>
    <n v="26575"/>
    <x v="1"/>
    <x v="0"/>
    <n v="40000"/>
    <n v="0"/>
    <s v="High School"/>
    <x v="0"/>
    <s v="No"/>
    <n v="2"/>
    <s v="1-2 Miles"/>
    <x v="2"/>
    <n v="31"/>
    <s v="Yes"/>
  </r>
  <r>
    <n v="15559"/>
    <x v="0"/>
    <x v="1"/>
    <n v="60000"/>
    <n v="5"/>
    <s v="Bachelors"/>
    <x v="2"/>
    <s v="Yes"/>
    <n v="1"/>
    <s v="2-5 Miles"/>
    <x v="2"/>
    <n v="47"/>
    <s v="No"/>
  </r>
  <r>
    <n v="19235"/>
    <x v="0"/>
    <x v="0"/>
    <n v="50000"/>
    <n v="0"/>
    <s v="Graduate Degree"/>
    <x v="0"/>
    <s v="Yes"/>
    <n v="0"/>
    <s v="0-1 Miles"/>
    <x v="2"/>
    <n v="34"/>
    <s v="No"/>
  </r>
  <r>
    <n v="15275"/>
    <x v="0"/>
    <x v="1"/>
    <n v="40000"/>
    <n v="0"/>
    <s v="Partial College"/>
    <x v="0"/>
    <s v="Yes"/>
    <n v="1"/>
    <s v="5-10 Miles"/>
    <x v="2"/>
    <n v="29"/>
    <s v="No"/>
  </r>
  <r>
    <n v="20339"/>
    <x v="0"/>
    <x v="0"/>
    <n v="130000"/>
    <n v="1"/>
    <s v="Bachelors"/>
    <x v="4"/>
    <s v="Yes"/>
    <n v="4"/>
    <s v="2-5 Miles"/>
    <x v="2"/>
    <n v="44"/>
    <s v="Yes"/>
  </r>
  <r>
    <n v="25405"/>
    <x v="0"/>
    <x v="1"/>
    <n v="70000"/>
    <n v="2"/>
    <s v="Bachelors"/>
    <x v="0"/>
    <s v="Yes"/>
    <n v="1"/>
    <s v="2-5 Miles"/>
    <x v="2"/>
    <n v="38"/>
    <s v="Yes"/>
  </r>
  <r>
    <n v="15940"/>
    <x v="0"/>
    <x v="1"/>
    <n v="100000"/>
    <n v="4"/>
    <s v="Partial College"/>
    <x v="2"/>
    <s v="Yes"/>
    <n v="4"/>
    <s v="0-1 Miles"/>
    <x v="2"/>
    <n v="40"/>
    <s v="No"/>
  </r>
  <r>
    <n v="25074"/>
    <x v="0"/>
    <x v="0"/>
    <n v="70000"/>
    <n v="4"/>
    <s v="Bachelors"/>
    <x v="2"/>
    <s v="Yes"/>
    <n v="2"/>
    <s v="2-5 Miles"/>
    <x v="2"/>
    <n v="42"/>
    <s v="Yes"/>
  </r>
  <r>
    <n v="24738"/>
    <x v="0"/>
    <x v="0"/>
    <n v="40000"/>
    <n v="1"/>
    <s v="Partial College"/>
    <x v="1"/>
    <s v="Yes"/>
    <n v="1"/>
    <s v="1-2 Miles"/>
    <x v="2"/>
    <n v="51"/>
    <s v="Yes"/>
  </r>
  <r>
    <n v="16337"/>
    <x v="0"/>
    <x v="1"/>
    <n v="60000"/>
    <n v="0"/>
    <s v="Partial College"/>
    <x v="0"/>
    <s v="No"/>
    <n v="2"/>
    <s v="1-2 Miles"/>
    <x v="2"/>
    <n v="29"/>
    <s v="No"/>
  </r>
  <r>
    <n v="24357"/>
    <x v="0"/>
    <x v="1"/>
    <n v="80000"/>
    <n v="3"/>
    <s v="Bachelors"/>
    <x v="2"/>
    <s v="Yes"/>
    <n v="1"/>
    <s v="2-5 Miles"/>
    <x v="2"/>
    <n v="48"/>
    <s v="Yes"/>
  </r>
  <r>
    <n v="18613"/>
    <x v="1"/>
    <x v="1"/>
    <n v="70000"/>
    <n v="0"/>
    <s v="Bachelors"/>
    <x v="2"/>
    <s v="No"/>
    <n v="1"/>
    <s v="2-5 Miles"/>
    <x v="2"/>
    <n v="37"/>
    <s v="Yes"/>
  </r>
  <r>
    <n v="12207"/>
    <x v="1"/>
    <x v="1"/>
    <n v="80000"/>
    <n v="4"/>
    <s v="Bachelors"/>
    <x v="4"/>
    <s v="Yes"/>
    <n v="0"/>
    <s v="5-10 Miles"/>
    <x v="2"/>
    <n v="66"/>
    <s v="Yes"/>
  </r>
  <r>
    <n v="18052"/>
    <x v="0"/>
    <x v="0"/>
    <n v="60000"/>
    <n v="1"/>
    <s v="Partial College"/>
    <x v="0"/>
    <s v="Yes"/>
    <n v="1"/>
    <s v="0-1 Miles"/>
    <x v="2"/>
    <n v="45"/>
    <s v="Yes"/>
  </r>
  <r>
    <n v="13353"/>
    <x v="1"/>
    <x v="0"/>
    <n v="60000"/>
    <n v="4"/>
    <s v="Graduate Degree"/>
    <x v="4"/>
    <s v="Yes"/>
    <n v="2"/>
    <s v="10+ Miles"/>
    <x v="2"/>
    <n v="61"/>
    <s v="Yes"/>
  </r>
  <r>
    <n v="19399"/>
    <x v="1"/>
    <x v="1"/>
    <n v="40000"/>
    <n v="0"/>
    <s v="Bachelors"/>
    <x v="2"/>
    <s v="No"/>
    <n v="1"/>
    <s v="2-5 Miles"/>
    <x v="2"/>
    <n v="45"/>
    <s v="No"/>
  </r>
  <r>
    <n v="16154"/>
    <x v="0"/>
    <x v="0"/>
    <n v="70000"/>
    <n v="5"/>
    <s v="Bachelors"/>
    <x v="2"/>
    <s v="Yes"/>
    <n v="2"/>
    <s v="2-5 Miles"/>
    <x v="2"/>
    <n v="47"/>
    <s v="No"/>
  </r>
  <r>
    <n v="22219"/>
    <x v="0"/>
    <x v="0"/>
    <n v="60000"/>
    <n v="2"/>
    <s v="High School"/>
    <x v="2"/>
    <s v="Yes"/>
    <n v="2"/>
    <s v="5-10 Miles"/>
    <x v="2"/>
    <n v="49"/>
    <s v="No"/>
  </r>
  <r>
    <n v="17269"/>
    <x v="1"/>
    <x v="1"/>
    <n v="60000"/>
    <n v="3"/>
    <s v="Bachelors"/>
    <x v="2"/>
    <s v="No"/>
    <n v="0"/>
    <s v="0-1 Miles"/>
    <x v="2"/>
    <n v="47"/>
    <s v="Yes"/>
  </r>
  <r>
    <n v="23586"/>
    <x v="0"/>
    <x v="0"/>
    <n v="80000"/>
    <n v="0"/>
    <s v="Bachelors"/>
    <x v="4"/>
    <s v="Yes"/>
    <n v="1"/>
    <s v="1-2 Miles"/>
    <x v="2"/>
    <n v="34"/>
    <s v="Yes"/>
  </r>
  <r>
    <n v="15740"/>
    <x v="0"/>
    <x v="1"/>
    <n v="80000"/>
    <n v="5"/>
    <s v="Bachelors"/>
    <x v="4"/>
    <s v="Yes"/>
    <n v="2"/>
    <s v="1-2 Miles"/>
    <x v="2"/>
    <n v="64"/>
    <s v="No"/>
  </r>
  <r>
    <n v="27638"/>
    <x v="1"/>
    <x v="1"/>
    <n v="100000"/>
    <n v="1"/>
    <s v="Partial College"/>
    <x v="2"/>
    <s v="No"/>
    <n v="3"/>
    <s v="1-2 Miles"/>
    <x v="2"/>
    <n v="44"/>
    <s v="No"/>
  </r>
  <r>
    <n v="18976"/>
    <x v="1"/>
    <x v="1"/>
    <n v="40000"/>
    <n v="4"/>
    <s v="High School"/>
    <x v="2"/>
    <s v="Yes"/>
    <n v="2"/>
    <s v="10+ Miles"/>
    <x v="2"/>
    <n v="62"/>
    <s v="Yes"/>
  </r>
  <r>
    <n v="19413"/>
    <x v="1"/>
    <x v="1"/>
    <n v="60000"/>
    <n v="3"/>
    <s v="Bachelors"/>
    <x v="2"/>
    <s v="No"/>
    <n v="1"/>
    <s v="0-1 Miles"/>
    <x v="2"/>
    <n v="47"/>
    <s v="Yes"/>
  </r>
  <r>
    <n v="13283"/>
    <x v="0"/>
    <x v="1"/>
    <n v="80000"/>
    <n v="3"/>
    <s v="Partial College"/>
    <x v="2"/>
    <s v="No"/>
    <n v="2"/>
    <s v="0-1 Miles"/>
    <x v="2"/>
    <n v="49"/>
    <s v="Yes"/>
  </r>
  <r>
    <n v="17471"/>
    <x v="1"/>
    <x v="0"/>
    <n v="80000"/>
    <n v="4"/>
    <s v="Graduate Degree"/>
    <x v="4"/>
    <s v="Yes"/>
    <n v="2"/>
    <s v="5-10 Miles"/>
    <x v="2"/>
    <n v="67"/>
    <s v="No"/>
  </r>
  <r>
    <n v="16791"/>
    <x v="1"/>
    <x v="1"/>
    <n v="60000"/>
    <n v="5"/>
    <s v="Bachelors"/>
    <x v="4"/>
    <s v="Yes"/>
    <n v="3"/>
    <s v="10+ Miles"/>
    <x v="2"/>
    <n v="59"/>
    <s v="Yes"/>
  </r>
  <r>
    <n v="15382"/>
    <x v="0"/>
    <x v="0"/>
    <n v="110000"/>
    <n v="1"/>
    <s v="Bachelors"/>
    <x v="4"/>
    <s v="Yes"/>
    <n v="2"/>
    <s v="1-2 Miles"/>
    <x v="2"/>
    <n v="44"/>
    <s v="No"/>
  </r>
  <r>
    <n v="11641"/>
    <x v="0"/>
    <x v="1"/>
    <n v="50000"/>
    <n v="1"/>
    <s v="Bachelors"/>
    <x v="0"/>
    <s v="Yes"/>
    <n v="0"/>
    <s v="0-1 Miles"/>
    <x v="2"/>
    <n v="36"/>
    <s v="No"/>
  </r>
  <r>
    <n v="11935"/>
    <x v="1"/>
    <x v="0"/>
    <n v="30000"/>
    <n v="0"/>
    <s v="Partial College"/>
    <x v="0"/>
    <s v="Yes"/>
    <n v="1"/>
    <s v="5-10 Miles"/>
    <x v="2"/>
    <n v="28"/>
    <s v="No"/>
  </r>
  <r>
    <n v="13233"/>
    <x v="0"/>
    <x v="1"/>
    <n v="60000"/>
    <n v="2"/>
    <s v="Partial College"/>
    <x v="2"/>
    <s v="Yes"/>
    <n v="1"/>
    <s v="10+ Miles"/>
    <x v="2"/>
    <n v="57"/>
    <s v="Yes"/>
  </r>
  <r>
    <n v="25909"/>
    <x v="0"/>
    <x v="1"/>
    <n v="60000"/>
    <n v="0"/>
    <s v="Partial College"/>
    <x v="0"/>
    <s v="Yes"/>
    <n v="1"/>
    <s v="5-10 Miles"/>
    <x v="2"/>
    <n v="27"/>
    <s v="Yes"/>
  </r>
  <r>
    <n v="14092"/>
    <x v="1"/>
    <x v="1"/>
    <n v="30000"/>
    <n v="0"/>
    <s v="Partial High School"/>
    <x v="1"/>
    <s v="Yes"/>
    <n v="2"/>
    <s v="5-10 Miles"/>
    <x v="2"/>
    <n v="28"/>
    <s v="No"/>
  </r>
  <r>
    <n v="29143"/>
    <x v="1"/>
    <x v="0"/>
    <n v="60000"/>
    <n v="1"/>
    <s v="Bachelors"/>
    <x v="2"/>
    <s v="No"/>
    <n v="1"/>
    <s v="0-1 Miles"/>
    <x v="2"/>
    <n v="44"/>
    <s v="Yes"/>
  </r>
  <r>
    <n v="24941"/>
    <x v="0"/>
    <x v="1"/>
    <n v="60000"/>
    <n v="3"/>
    <s v="Bachelors"/>
    <x v="4"/>
    <s v="Yes"/>
    <n v="2"/>
    <s v="10+ Miles"/>
    <x v="2"/>
    <n v="66"/>
    <s v="No"/>
  </r>
  <r>
    <n v="24637"/>
    <x v="0"/>
    <x v="1"/>
    <n v="40000"/>
    <n v="4"/>
    <s v="High School"/>
    <x v="2"/>
    <s v="Yes"/>
    <n v="2"/>
    <s v="10+ Miles"/>
    <x v="2"/>
    <n v="64"/>
    <s v="No"/>
  </r>
  <r>
    <n v="23893"/>
    <x v="0"/>
    <x v="1"/>
    <n v="50000"/>
    <n v="3"/>
    <s v="Bachelors"/>
    <x v="0"/>
    <s v="Yes"/>
    <n v="3"/>
    <s v="10+ Miles"/>
    <x v="2"/>
    <n v="41"/>
    <s v="No"/>
  </r>
  <r>
    <n v="13907"/>
    <x v="1"/>
    <x v="0"/>
    <n v="80000"/>
    <n v="3"/>
    <s v="Bachelors"/>
    <x v="0"/>
    <s v="Yes"/>
    <n v="1"/>
    <s v="0-1 Miles"/>
    <x v="2"/>
    <n v="41"/>
    <s v="Yes"/>
  </r>
  <r>
    <n v="14900"/>
    <x v="0"/>
    <x v="0"/>
    <n v="40000"/>
    <n v="1"/>
    <s v="Partial College"/>
    <x v="1"/>
    <s v="Yes"/>
    <n v="1"/>
    <s v="1-2 Miles"/>
    <x v="2"/>
    <n v="49"/>
    <s v="Yes"/>
  </r>
  <r>
    <n v="11262"/>
    <x v="0"/>
    <x v="0"/>
    <n v="80000"/>
    <n v="4"/>
    <s v="Bachelors"/>
    <x v="4"/>
    <s v="Yes"/>
    <n v="0"/>
    <s v="0-1 Miles"/>
    <x v="2"/>
    <n v="42"/>
    <s v="No"/>
  </r>
  <r>
    <n v="22294"/>
    <x v="1"/>
    <x v="0"/>
    <n v="70000"/>
    <n v="0"/>
    <s v="Bachelors"/>
    <x v="2"/>
    <s v="No"/>
    <n v="1"/>
    <s v="2-5 Miles"/>
    <x v="2"/>
    <n v="37"/>
    <s v="Yes"/>
  </r>
  <r>
    <n v="12195"/>
    <x v="1"/>
    <x v="0"/>
    <n v="70000"/>
    <n v="3"/>
    <s v="Graduate Degree"/>
    <x v="4"/>
    <s v="Yes"/>
    <n v="2"/>
    <s v="1-2 Miles"/>
    <x v="2"/>
    <n v="52"/>
    <s v="No"/>
  </r>
  <r>
    <n v="25375"/>
    <x v="0"/>
    <x v="1"/>
    <n v="50000"/>
    <n v="1"/>
    <s v="Graduate Degree"/>
    <x v="0"/>
    <s v="Yes"/>
    <n v="0"/>
    <s v="1-2 Miles"/>
    <x v="2"/>
    <n v="34"/>
    <s v="No"/>
  </r>
  <r>
    <n v="11143"/>
    <x v="0"/>
    <x v="1"/>
    <n v="40000"/>
    <n v="0"/>
    <s v="High School"/>
    <x v="0"/>
    <s v="Yes"/>
    <n v="2"/>
    <s v="5-10 Miles"/>
    <x v="2"/>
    <n v="29"/>
    <s v="No"/>
  </r>
  <r>
    <n v="25898"/>
    <x v="0"/>
    <x v="0"/>
    <n v="70000"/>
    <n v="2"/>
    <s v="High School"/>
    <x v="2"/>
    <s v="Yes"/>
    <n v="2"/>
    <s v="2-5 Miles"/>
    <x v="2"/>
    <n v="53"/>
    <s v="No"/>
  </r>
  <r>
    <n v="24397"/>
    <x v="1"/>
    <x v="1"/>
    <n v="120000"/>
    <n v="2"/>
    <s v="Bachelors"/>
    <x v="4"/>
    <s v="No"/>
    <n v="4"/>
    <s v="1-2 Miles"/>
    <x v="2"/>
    <n v="40"/>
    <s v="No"/>
  </r>
  <r>
    <n v="19758"/>
    <x v="1"/>
    <x v="1"/>
    <n v="60000"/>
    <n v="0"/>
    <s v="Partial College"/>
    <x v="0"/>
    <s v="No"/>
    <n v="2"/>
    <s v="1-2 Miles"/>
    <x v="2"/>
    <n v="29"/>
    <s v="No"/>
  </r>
  <r>
    <n v="15529"/>
    <x v="0"/>
    <x v="1"/>
    <n v="60000"/>
    <n v="4"/>
    <s v="Bachelors"/>
    <x v="2"/>
    <s v="Yes"/>
    <n v="2"/>
    <s v="2-5 Miles"/>
    <x v="2"/>
    <n v="43"/>
    <s v="Yes"/>
  </r>
  <r>
    <n v="19884"/>
    <x v="0"/>
    <x v="1"/>
    <n v="60000"/>
    <n v="2"/>
    <s v="High School"/>
    <x v="2"/>
    <s v="Yes"/>
    <n v="2"/>
    <s v="2-5 Miles"/>
    <x v="2"/>
    <n v="55"/>
    <s v="Yes"/>
  </r>
  <r>
    <n v="18674"/>
    <x v="1"/>
    <x v="0"/>
    <n v="80000"/>
    <n v="4"/>
    <s v="Graduate Degree"/>
    <x v="0"/>
    <s v="No"/>
    <n v="0"/>
    <s v="0-1 Miles"/>
    <x v="2"/>
    <n v="48"/>
    <s v="No"/>
  </r>
  <r>
    <n v="13453"/>
    <x v="0"/>
    <x v="0"/>
    <n v="130000"/>
    <n v="3"/>
    <s v="Bachelors"/>
    <x v="4"/>
    <s v="Yes"/>
    <n v="3"/>
    <s v="0-1 Miles"/>
    <x v="2"/>
    <n v="45"/>
    <s v="Yes"/>
  </r>
  <r>
    <n v="14063"/>
    <x v="1"/>
    <x v="0"/>
    <n v="70000"/>
    <n v="0"/>
    <s v="Bachelors"/>
    <x v="2"/>
    <s v="No"/>
    <n v="1"/>
    <s v="0-1 Miles"/>
    <x v="1"/>
    <n v="42"/>
    <s v="Yes"/>
  </r>
  <r>
    <n v="27393"/>
    <x v="0"/>
    <x v="0"/>
    <n v="50000"/>
    <n v="4"/>
    <s v="Bachelors"/>
    <x v="4"/>
    <s v="Yes"/>
    <n v="2"/>
    <s v="10+ Miles"/>
    <x v="2"/>
    <n v="63"/>
    <s v="No"/>
  </r>
  <r>
    <n v="14417"/>
    <x v="1"/>
    <x v="1"/>
    <n v="60000"/>
    <n v="3"/>
    <s v="High School"/>
    <x v="2"/>
    <s v="Yes"/>
    <n v="2"/>
    <s v="10+ Miles"/>
    <x v="2"/>
    <n v="54"/>
    <s v="Yes"/>
  </r>
  <r>
    <n v="17533"/>
    <x v="0"/>
    <x v="1"/>
    <n v="40000"/>
    <n v="3"/>
    <s v="Partial College"/>
    <x v="2"/>
    <s v="No"/>
    <n v="2"/>
    <s v="5-10 Miles"/>
    <x v="2"/>
    <n v="73"/>
    <s v="Yes"/>
  </r>
  <r>
    <n v="18580"/>
    <x v="0"/>
    <x v="0"/>
    <n v="60000"/>
    <n v="2"/>
    <s v="Graduate Degree"/>
    <x v="2"/>
    <s v="Yes"/>
    <n v="0"/>
    <s v="2-5 Miles"/>
    <x v="2"/>
    <n v="40"/>
    <s v="Yes"/>
  </r>
  <r>
    <n v="17025"/>
    <x v="1"/>
    <x v="1"/>
    <n v="50000"/>
    <n v="0"/>
    <s v="Partial College"/>
    <x v="0"/>
    <s v="No"/>
    <n v="1"/>
    <s v="2-5 Miles"/>
    <x v="2"/>
    <n v="39"/>
    <s v="Yes"/>
  </r>
  <r>
    <n v="25293"/>
    <x v="0"/>
    <x v="1"/>
    <n v="80000"/>
    <n v="4"/>
    <s v="Bachelors"/>
    <x v="4"/>
    <s v="Yes"/>
    <n v="0"/>
    <s v="1-2 Miles"/>
    <x v="2"/>
    <n v="42"/>
    <s v="No"/>
  </r>
  <r>
    <n v="24725"/>
    <x v="0"/>
    <x v="0"/>
    <n v="40000"/>
    <n v="3"/>
    <s v="Partial College"/>
    <x v="1"/>
    <s v="Yes"/>
    <n v="0"/>
    <s v="1-2 Miles"/>
    <x v="2"/>
    <n v="31"/>
    <s v="No"/>
  </r>
  <r>
    <n v="23200"/>
    <x v="0"/>
    <x v="0"/>
    <n v="50000"/>
    <n v="3"/>
    <s v="Bachelors"/>
    <x v="0"/>
    <s v="Yes"/>
    <n v="2"/>
    <s v="0-1 Miles"/>
    <x v="2"/>
    <n v="41"/>
    <s v="No"/>
  </r>
  <r>
    <n v="15895"/>
    <x v="1"/>
    <x v="0"/>
    <n v="60000"/>
    <n v="2"/>
    <s v="Bachelors"/>
    <x v="4"/>
    <s v="Yes"/>
    <n v="0"/>
    <s v="10+ Miles"/>
    <x v="2"/>
    <n v="58"/>
    <s v="No"/>
  </r>
  <r>
    <n v="18577"/>
    <x v="0"/>
    <x v="0"/>
    <n v="60000"/>
    <n v="0"/>
    <s v="Graduate Degree"/>
    <x v="2"/>
    <s v="Yes"/>
    <n v="0"/>
    <s v="0-1 Miles"/>
    <x v="2"/>
    <n v="40"/>
    <s v="No"/>
  </r>
  <r>
    <n v="27218"/>
    <x v="0"/>
    <x v="0"/>
    <n v="20000"/>
    <n v="2"/>
    <s v="Partial High School"/>
    <x v="1"/>
    <s v="No"/>
    <n v="0"/>
    <s v="0-1 Miles"/>
    <x v="2"/>
    <n v="48"/>
    <s v="No"/>
  </r>
  <r>
    <n v="18560"/>
    <x v="0"/>
    <x v="0"/>
    <n v="70000"/>
    <n v="2"/>
    <s v="Graduate Degree"/>
    <x v="2"/>
    <s v="Yes"/>
    <n v="0"/>
    <s v="2-5 Miles"/>
    <x v="2"/>
    <n v="34"/>
    <s v="Yes"/>
  </r>
  <r>
    <n v="25006"/>
    <x v="1"/>
    <x v="0"/>
    <n v="30000"/>
    <n v="0"/>
    <s v="Partial College"/>
    <x v="0"/>
    <s v="Yes"/>
    <n v="1"/>
    <s v="5-10 Miles"/>
    <x v="2"/>
    <n v="28"/>
    <s v="No"/>
  </r>
  <r>
    <n v="17369"/>
    <x v="1"/>
    <x v="1"/>
    <n v="30000"/>
    <n v="0"/>
    <s v="Partial College"/>
    <x v="0"/>
    <s v="Yes"/>
    <n v="1"/>
    <s v="5-10 Miles"/>
    <x v="2"/>
    <n v="27"/>
    <s v="No"/>
  </r>
  <r>
    <n v="14495"/>
    <x v="0"/>
    <x v="1"/>
    <n v="40000"/>
    <n v="3"/>
    <s v="Partial College"/>
    <x v="2"/>
    <s v="No"/>
    <n v="2"/>
    <s v="5-10 Miles"/>
    <x v="2"/>
    <n v="54"/>
    <s v="Yes"/>
  </r>
  <r>
    <n v="18847"/>
    <x v="0"/>
    <x v="0"/>
    <n v="60000"/>
    <n v="2"/>
    <s v="Graduate Degree"/>
    <x v="4"/>
    <s v="Yes"/>
    <n v="2"/>
    <s v="5-10 Miles"/>
    <x v="2"/>
    <n v="70"/>
    <s v="No"/>
  </r>
  <r>
    <n v="14754"/>
    <x v="0"/>
    <x v="1"/>
    <n v="40000"/>
    <n v="1"/>
    <s v="Partial College"/>
    <x v="1"/>
    <s v="Yes"/>
    <n v="1"/>
    <s v="1-2 Miles"/>
    <x v="2"/>
    <n v="48"/>
    <s v="Yes"/>
  </r>
  <r>
    <n v="23378"/>
    <x v="0"/>
    <x v="1"/>
    <n v="70000"/>
    <n v="1"/>
    <s v="Partial College"/>
    <x v="0"/>
    <s v="Yes"/>
    <n v="1"/>
    <s v="2-5 Miles"/>
    <x v="2"/>
    <n v="44"/>
    <s v="Yes"/>
  </r>
  <r>
    <n v="26452"/>
    <x v="1"/>
    <x v="1"/>
    <n v="50000"/>
    <n v="3"/>
    <s v="Graduate Degree"/>
    <x v="4"/>
    <s v="Yes"/>
    <n v="2"/>
    <s v="10+ Miles"/>
    <x v="2"/>
    <n v="69"/>
    <s v="No"/>
  </r>
  <r>
    <n v="20370"/>
    <x v="0"/>
    <x v="1"/>
    <n v="70000"/>
    <n v="3"/>
    <s v="Partial High School"/>
    <x v="0"/>
    <s v="Yes"/>
    <n v="2"/>
    <s v="5-10 Miles"/>
    <x v="2"/>
    <n v="52"/>
    <s v="No"/>
  </r>
  <r>
    <n v="20528"/>
    <x v="0"/>
    <x v="1"/>
    <n v="40000"/>
    <n v="2"/>
    <s v="Partial High School"/>
    <x v="0"/>
    <s v="Yes"/>
    <n v="2"/>
    <s v="2-5 Miles"/>
    <x v="2"/>
    <n v="55"/>
    <s v="No"/>
  </r>
  <r>
    <n v="23549"/>
    <x v="1"/>
    <x v="1"/>
    <n v="30000"/>
    <n v="0"/>
    <s v="High School"/>
    <x v="0"/>
    <s v="Yes"/>
    <n v="2"/>
    <s v="5-10 Miles"/>
    <x v="2"/>
    <n v="30"/>
    <s v="No"/>
  </r>
  <r>
    <n v="21751"/>
    <x v="0"/>
    <x v="1"/>
    <n v="60000"/>
    <n v="3"/>
    <s v="Graduate Degree"/>
    <x v="4"/>
    <s v="Yes"/>
    <n v="2"/>
    <s v="1-2 Miles"/>
    <x v="2"/>
    <n v="63"/>
    <s v="No"/>
  </r>
  <r>
    <n v="21266"/>
    <x v="1"/>
    <x v="0"/>
    <n v="80000"/>
    <n v="0"/>
    <s v="Bachelors"/>
    <x v="4"/>
    <s v="Yes"/>
    <n v="1"/>
    <s v="1-2 Miles"/>
    <x v="2"/>
    <n v="34"/>
    <s v="Yes"/>
  </r>
  <r>
    <n v="13388"/>
    <x v="1"/>
    <x v="1"/>
    <n v="60000"/>
    <n v="2"/>
    <s v="Partial College"/>
    <x v="2"/>
    <s v="Yes"/>
    <n v="1"/>
    <s v="10+ Miles"/>
    <x v="2"/>
    <n v="56"/>
    <s v="No"/>
  </r>
  <r>
    <n v="18752"/>
    <x v="1"/>
    <x v="0"/>
    <n v="40000"/>
    <n v="0"/>
    <s v="High School"/>
    <x v="0"/>
    <s v="Yes"/>
    <n v="1"/>
    <s v="5-10 Miles"/>
    <x v="2"/>
    <n v="31"/>
    <s v="No"/>
  </r>
  <r>
    <n v="16917"/>
    <x v="0"/>
    <x v="1"/>
    <n v="120000"/>
    <n v="1"/>
    <s v="Bachelors"/>
    <x v="4"/>
    <s v="Yes"/>
    <n v="4"/>
    <s v="0-1 Miles"/>
    <x v="2"/>
    <n v="38"/>
    <s v="No"/>
  </r>
  <r>
    <n v="15313"/>
    <x v="0"/>
    <x v="1"/>
    <n v="60000"/>
    <n v="4"/>
    <s v="Bachelors"/>
    <x v="4"/>
    <s v="Yes"/>
    <n v="2"/>
    <s v="2-5 Miles"/>
    <x v="2"/>
    <n v="59"/>
    <s v="No"/>
  </r>
  <r>
    <n v="25329"/>
    <x v="1"/>
    <x v="0"/>
    <n v="40000"/>
    <n v="3"/>
    <s v="Partial College"/>
    <x v="1"/>
    <s v="No"/>
    <n v="2"/>
    <s v="0-1 Miles"/>
    <x v="2"/>
    <n v="32"/>
    <s v="No"/>
  </r>
  <r>
    <n v="20380"/>
    <x v="0"/>
    <x v="0"/>
    <n v="60000"/>
    <n v="3"/>
    <s v="Graduate Degree"/>
    <x v="4"/>
    <s v="Yes"/>
    <n v="2"/>
    <s v="10+ Miles"/>
    <x v="2"/>
    <n v="69"/>
    <s v="No"/>
  </r>
  <r>
    <n v="23089"/>
    <x v="0"/>
    <x v="1"/>
    <n v="40000"/>
    <n v="0"/>
    <s v="Partial College"/>
    <x v="0"/>
    <s v="Yes"/>
    <n v="1"/>
    <s v="5-10 Miles"/>
    <x v="2"/>
    <n v="28"/>
    <s v="No"/>
  </r>
  <r>
    <n v="13749"/>
    <x v="0"/>
    <x v="1"/>
    <n v="80000"/>
    <n v="4"/>
    <s v="Graduate Degree"/>
    <x v="0"/>
    <s v="Yes"/>
    <n v="0"/>
    <s v="1-2 Miles"/>
    <x v="2"/>
    <n v="47"/>
    <s v="No"/>
  </r>
  <r>
    <n v="24943"/>
    <x v="0"/>
    <x v="1"/>
    <n v="60000"/>
    <n v="3"/>
    <s v="Bachelors"/>
    <x v="4"/>
    <s v="Yes"/>
    <n v="2"/>
    <s v="10+ Miles"/>
    <x v="2"/>
    <n v="66"/>
    <s v="No"/>
  </r>
  <r>
    <n v="28667"/>
    <x v="1"/>
    <x v="1"/>
    <n v="70000"/>
    <n v="2"/>
    <s v="Bachelors"/>
    <x v="0"/>
    <s v="No"/>
    <n v="1"/>
    <s v="0-1 Miles"/>
    <x v="2"/>
    <n v="37"/>
    <s v="Yes"/>
  </r>
  <r>
    <n v="15194"/>
    <x v="1"/>
    <x v="1"/>
    <n v="120000"/>
    <n v="2"/>
    <s v="Bachelors"/>
    <x v="4"/>
    <s v="No"/>
    <n v="3"/>
    <s v="0-1 Miles"/>
    <x v="2"/>
    <n v="39"/>
    <s v="Yes"/>
  </r>
  <r>
    <n v="17436"/>
    <x v="0"/>
    <x v="1"/>
    <n v="60000"/>
    <n v="2"/>
    <s v="High School"/>
    <x v="2"/>
    <s v="No"/>
    <n v="2"/>
    <s v="1-2 Miles"/>
    <x v="2"/>
    <n v="51"/>
    <s v="No"/>
  </r>
  <r>
    <n v="18935"/>
    <x v="0"/>
    <x v="0"/>
    <n v="130000"/>
    <n v="0"/>
    <s v="Graduate Degree"/>
    <x v="4"/>
    <s v="Yes"/>
    <n v="3"/>
    <s v="1-2 Miles"/>
    <x v="2"/>
    <n v="40"/>
    <s v="No"/>
  </r>
  <r>
    <n v="16871"/>
    <x v="0"/>
    <x v="0"/>
    <n v="90000"/>
    <n v="2"/>
    <s v="High School"/>
    <x v="2"/>
    <s v="Yes"/>
    <n v="1"/>
    <s v="10+ Miles"/>
    <x v="2"/>
    <n v="51"/>
    <s v="Yes"/>
  </r>
  <r>
    <n v="12100"/>
    <x v="1"/>
    <x v="1"/>
    <n v="60000"/>
    <n v="2"/>
    <s v="Bachelors"/>
    <x v="4"/>
    <s v="Yes"/>
    <n v="0"/>
    <s v="10+ Miles"/>
    <x v="2"/>
    <n v="57"/>
    <s v="No"/>
  </r>
  <r>
    <n v="23158"/>
    <x v="0"/>
    <x v="0"/>
    <n v="60000"/>
    <n v="1"/>
    <s v="Graduate Degree"/>
    <x v="2"/>
    <s v="No"/>
    <n v="0"/>
    <s v="0-1 Miles"/>
    <x v="2"/>
    <n v="35"/>
    <s v="Yes"/>
  </r>
  <r>
    <n v="18545"/>
    <x v="0"/>
    <x v="1"/>
    <n v="40000"/>
    <n v="4"/>
    <s v="High School"/>
    <x v="2"/>
    <s v="No"/>
    <n v="2"/>
    <s v="10+ Miles"/>
    <x v="2"/>
    <n v="61"/>
    <s v="Yes"/>
  </r>
  <r>
    <n v="18391"/>
    <x v="1"/>
    <x v="0"/>
    <n v="80000"/>
    <n v="5"/>
    <s v="Partial College"/>
    <x v="2"/>
    <s v="Yes"/>
    <n v="2"/>
    <s v="5-10 Miles"/>
    <x v="2"/>
    <n v="44"/>
    <s v="No"/>
  </r>
  <r>
    <n v="19812"/>
    <x v="1"/>
    <x v="0"/>
    <n v="70000"/>
    <n v="2"/>
    <s v="Partial College"/>
    <x v="2"/>
    <s v="Yes"/>
    <n v="0"/>
    <s v="5-10 Miles"/>
    <x v="2"/>
    <n v="49"/>
    <s v="Yes"/>
  </r>
  <r>
    <n v="27660"/>
    <x v="0"/>
    <x v="1"/>
    <n v="80000"/>
    <n v="4"/>
    <s v="Graduate Degree"/>
    <x v="4"/>
    <s v="Yes"/>
    <n v="2"/>
    <s v="5-10 Miles"/>
    <x v="2"/>
    <n v="70"/>
    <s v="No"/>
  </r>
  <r>
    <n v="18058"/>
    <x v="1"/>
    <x v="0"/>
    <n v="20000"/>
    <n v="3"/>
    <s v="High School"/>
    <x v="0"/>
    <s v="Yes"/>
    <n v="2"/>
    <s v="2-5 Miles"/>
    <x v="2"/>
    <n v="78"/>
    <s v="No"/>
  </r>
  <r>
    <n v="20343"/>
    <x v="0"/>
    <x v="0"/>
    <n v="90000"/>
    <n v="4"/>
    <s v="Partial College"/>
    <x v="2"/>
    <s v="Yes"/>
    <n v="1"/>
    <s v="1-2 Miles"/>
    <x v="2"/>
    <n v="45"/>
    <s v="No"/>
  </r>
  <r>
    <n v="28997"/>
    <x v="1"/>
    <x v="1"/>
    <n v="40000"/>
    <n v="2"/>
    <s v="High School"/>
    <x v="2"/>
    <s v="No"/>
    <n v="1"/>
    <s v="2-5 Miles"/>
    <x v="2"/>
    <n v="58"/>
    <s v="Yes"/>
  </r>
  <r>
    <n v="24398"/>
    <x v="0"/>
    <x v="1"/>
    <n v="130000"/>
    <n v="1"/>
    <s v="Graduate Degree"/>
    <x v="4"/>
    <s v="Yes"/>
    <n v="4"/>
    <s v="0-1 Miles"/>
    <x v="2"/>
    <n v="41"/>
    <s v="No"/>
  </r>
  <r>
    <n v="19002"/>
    <x v="0"/>
    <x v="0"/>
    <n v="60000"/>
    <n v="2"/>
    <s v="Partial College"/>
    <x v="2"/>
    <s v="Yes"/>
    <n v="1"/>
    <s v="2-5 Miles"/>
    <x v="2"/>
    <n v="57"/>
    <s v="Yes"/>
  </r>
  <r>
    <n v="28609"/>
    <x v="0"/>
    <x v="1"/>
    <n v="30000"/>
    <n v="2"/>
    <s v="High School"/>
    <x v="0"/>
    <s v="No"/>
    <n v="2"/>
    <s v="0-1 Miles"/>
    <x v="2"/>
    <n v="49"/>
    <s v="No"/>
  </r>
  <r>
    <n v="29231"/>
    <x v="1"/>
    <x v="1"/>
    <n v="80000"/>
    <n v="4"/>
    <s v="Partial College"/>
    <x v="2"/>
    <s v="No"/>
    <n v="2"/>
    <s v="0-1 Miles"/>
    <x v="2"/>
    <n v="43"/>
    <s v="No"/>
  </r>
  <r>
    <n v="18858"/>
    <x v="1"/>
    <x v="1"/>
    <n v="60000"/>
    <n v="2"/>
    <s v="Partial High School"/>
    <x v="0"/>
    <s v="Yes"/>
    <n v="2"/>
    <s v="5-10 Miles"/>
    <x v="2"/>
    <n v="52"/>
    <s v="Yes"/>
  </r>
  <r>
    <n v="20000"/>
    <x v="0"/>
    <x v="1"/>
    <n v="60000"/>
    <n v="1"/>
    <s v="Graduate Degree"/>
    <x v="2"/>
    <s v="Yes"/>
    <n v="0"/>
    <s v="0-1 Miles"/>
    <x v="2"/>
    <n v="35"/>
    <s v="Yes"/>
  </r>
  <r>
    <n v="25261"/>
    <x v="0"/>
    <x v="1"/>
    <n v="40000"/>
    <n v="0"/>
    <s v="High School"/>
    <x v="0"/>
    <s v="Yes"/>
    <n v="2"/>
    <s v="5-10 Miles"/>
    <x v="2"/>
    <n v="27"/>
    <s v="No"/>
  </r>
  <r>
    <n v="17458"/>
    <x v="1"/>
    <x v="1"/>
    <n v="70000"/>
    <n v="3"/>
    <s v="High School"/>
    <x v="2"/>
    <s v="Yes"/>
    <n v="0"/>
    <s v="5-10 Miles"/>
    <x v="2"/>
    <n v="52"/>
    <s v="Yes"/>
  </r>
  <r>
    <n v="11644"/>
    <x v="1"/>
    <x v="1"/>
    <n v="40000"/>
    <n v="2"/>
    <s v="Bachelors"/>
    <x v="0"/>
    <s v="Yes"/>
    <n v="0"/>
    <s v="2-5 Miles"/>
    <x v="2"/>
    <n v="36"/>
    <s v="No"/>
  </r>
  <r>
    <n v="16145"/>
    <x v="1"/>
    <x v="0"/>
    <n v="70000"/>
    <n v="5"/>
    <s v="Graduate Degree"/>
    <x v="2"/>
    <s v="Yes"/>
    <n v="3"/>
    <s v="10+ Miles"/>
    <x v="2"/>
    <n v="46"/>
    <s v="Yes"/>
  </r>
  <r>
    <n v="16890"/>
    <x v="0"/>
    <x v="1"/>
    <n v="60000"/>
    <n v="3"/>
    <s v="Partial High School"/>
    <x v="0"/>
    <s v="Yes"/>
    <n v="2"/>
    <s v="5-10 Miles"/>
    <x v="2"/>
    <n v="52"/>
    <s v="Yes"/>
  </r>
  <r>
    <n v="25983"/>
    <x v="0"/>
    <x v="1"/>
    <n v="70000"/>
    <n v="0"/>
    <s v="Bachelors"/>
    <x v="2"/>
    <s v="No"/>
    <n v="1"/>
    <s v="0-1 Miles"/>
    <x v="2"/>
    <n v="43"/>
    <s v="No"/>
  </r>
  <r>
    <n v="14633"/>
    <x v="0"/>
    <x v="1"/>
    <n v="60000"/>
    <n v="1"/>
    <s v="Partial College"/>
    <x v="0"/>
    <s v="Yes"/>
    <n v="1"/>
    <s v="2-5 Miles"/>
    <x v="2"/>
    <n v="44"/>
    <s v="No"/>
  </r>
  <r>
    <n v="22994"/>
    <x v="0"/>
    <x v="0"/>
    <n v="80000"/>
    <n v="0"/>
    <s v="Bachelors"/>
    <x v="4"/>
    <s v="Yes"/>
    <n v="1"/>
    <s v="1-2 Miles"/>
    <x v="2"/>
    <n v="34"/>
    <s v="Yes"/>
  </r>
  <r>
    <n v="22983"/>
    <x v="1"/>
    <x v="0"/>
    <n v="30000"/>
    <n v="0"/>
    <s v="Partial High School"/>
    <x v="1"/>
    <s v="Yes"/>
    <n v="2"/>
    <s v="5-10 Miles"/>
    <x v="2"/>
    <n v="27"/>
    <s v="No"/>
  </r>
  <r>
    <n v="25184"/>
    <x v="1"/>
    <x v="1"/>
    <n v="110000"/>
    <n v="1"/>
    <s v="Partial College"/>
    <x v="2"/>
    <s v="Yes"/>
    <n v="4"/>
    <s v="5-10 Miles"/>
    <x v="2"/>
    <n v="45"/>
    <s v="Yes"/>
  </r>
  <r>
    <n v="14469"/>
    <x v="0"/>
    <x v="0"/>
    <n v="100000"/>
    <n v="3"/>
    <s v="Partial College"/>
    <x v="2"/>
    <s v="Yes"/>
    <n v="4"/>
    <s v="1-2 Miles"/>
    <x v="2"/>
    <n v="45"/>
    <s v="No"/>
  </r>
  <r>
    <n v="11538"/>
    <x v="1"/>
    <x v="0"/>
    <n v="60000"/>
    <n v="4"/>
    <s v="Graduate Degree"/>
    <x v="0"/>
    <s v="No"/>
    <n v="0"/>
    <s v="0-1 Miles"/>
    <x v="2"/>
    <n v="47"/>
    <s v="Yes"/>
  </r>
  <r>
    <n v="16245"/>
    <x v="1"/>
    <x v="0"/>
    <n v="80000"/>
    <n v="4"/>
    <s v="Graduate Degree"/>
    <x v="0"/>
    <s v="Yes"/>
    <n v="0"/>
    <s v="1-2 Miles"/>
    <x v="2"/>
    <n v="47"/>
    <s v="No"/>
  </r>
  <r>
    <n v="17858"/>
    <x v="0"/>
    <x v="1"/>
    <n v="40000"/>
    <n v="4"/>
    <s v="High School"/>
    <x v="0"/>
    <s v="Yes"/>
    <n v="2"/>
    <s v="2-5 Miles"/>
    <x v="2"/>
    <n v="44"/>
    <s v="Yes"/>
  </r>
  <r>
    <n v="25347"/>
    <x v="1"/>
    <x v="0"/>
    <n v="20000"/>
    <n v="3"/>
    <s v="Partial High School"/>
    <x v="1"/>
    <s v="No"/>
    <n v="2"/>
    <s v="0-1 Miles"/>
    <x v="2"/>
    <n v="49"/>
    <s v="No"/>
  </r>
  <r>
    <n v="15814"/>
    <x v="1"/>
    <x v="0"/>
    <n v="40000"/>
    <n v="0"/>
    <s v="High School"/>
    <x v="0"/>
    <s v="Yes"/>
    <n v="1"/>
    <s v="5-10 Miles"/>
    <x v="2"/>
    <n v="30"/>
    <s v="No"/>
  </r>
  <r>
    <n v="11259"/>
    <x v="0"/>
    <x v="0"/>
    <n v="100000"/>
    <n v="4"/>
    <s v="Partial College"/>
    <x v="2"/>
    <s v="Yes"/>
    <n v="4"/>
    <s v="2-5 Miles"/>
    <x v="2"/>
    <n v="41"/>
    <s v="Yes"/>
  </r>
  <r>
    <n v="11200"/>
    <x v="0"/>
    <x v="1"/>
    <n v="70000"/>
    <n v="4"/>
    <s v="Bachelors"/>
    <x v="4"/>
    <s v="Yes"/>
    <n v="1"/>
    <s v="1-2 Miles"/>
    <x v="2"/>
    <n v="58"/>
    <s v="No"/>
  </r>
  <r>
    <n v="25101"/>
    <x v="0"/>
    <x v="1"/>
    <n v="60000"/>
    <n v="5"/>
    <s v="Bachelors"/>
    <x v="2"/>
    <s v="Yes"/>
    <n v="1"/>
    <s v="2-5 Miles"/>
    <x v="2"/>
    <n v="47"/>
    <s v="No"/>
  </r>
  <r>
    <n v="21801"/>
    <x v="0"/>
    <x v="0"/>
    <n v="70000"/>
    <n v="4"/>
    <s v="Partial College"/>
    <x v="2"/>
    <s v="Yes"/>
    <n v="1"/>
    <s v="1-2 Miles"/>
    <x v="2"/>
    <n v="55"/>
    <s v="No"/>
  </r>
  <r>
    <n v="25943"/>
    <x v="1"/>
    <x v="0"/>
    <n v="70000"/>
    <n v="0"/>
    <s v="Partial College"/>
    <x v="0"/>
    <s v="No"/>
    <n v="2"/>
    <s v="0-1 Miles"/>
    <x v="2"/>
    <n v="27"/>
    <s v="Yes"/>
  </r>
  <r>
    <n v="22127"/>
    <x v="0"/>
    <x v="1"/>
    <n v="60000"/>
    <n v="3"/>
    <s v="Graduate Degree"/>
    <x v="4"/>
    <s v="Yes"/>
    <n v="2"/>
    <s v="1-2 Miles"/>
    <x v="2"/>
    <n v="67"/>
    <s v="No"/>
  </r>
  <r>
    <n v="20414"/>
    <x v="0"/>
    <x v="0"/>
    <n v="60000"/>
    <n v="0"/>
    <s v="Partial College"/>
    <x v="0"/>
    <s v="Yes"/>
    <n v="2"/>
    <s v="5-10 Miles"/>
    <x v="2"/>
    <n v="29"/>
    <s v="No"/>
  </r>
  <r>
    <n v="23672"/>
    <x v="0"/>
    <x v="0"/>
    <n v="60000"/>
    <n v="3"/>
    <s v="Graduate Degree"/>
    <x v="4"/>
    <s v="Yes"/>
    <n v="2"/>
    <s v="1-2 Miles"/>
    <x v="2"/>
    <n v="67"/>
    <s v="No"/>
  </r>
  <r>
    <n v="29255"/>
    <x v="1"/>
    <x v="1"/>
    <n v="80000"/>
    <n v="3"/>
    <s v="Partial College"/>
    <x v="2"/>
    <s v="No"/>
    <n v="1"/>
    <s v="1-2 Miles"/>
    <x v="2"/>
    <n v="51"/>
    <s v="Yes"/>
  </r>
  <r>
    <n v="28815"/>
    <x v="0"/>
    <x v="0"/>
    <n v="50000"/>
    <n v="1"/>
    <s v="Graduate Degree"/>
    <x v="0"/>
    <s v="Yes"/>
    <n v="0"/>
    <s v="0-1 Miles"/>
    <x v="2"/>
    <n v="35"/>
    <s v="No"/>
  </r>
  <r>
    <n v="27753"/>
    <x v="0"/>
    <x v="1"/>
    <n v="40000"/>
    <n v="0"/>
    <s v="High School"/>
    <x v="0"/>
    <s v="No"/>
    <n v="2"/>
    <s v="1-2 Miles"/>
    <x v="2"/>
    <n v="30"/>
    <s v="No"/>
  </r>
  <r>
    <n v="27643"/>
    <x v="1"/>
    <x v="1"/>
    <n v="70000"/>
    <n v="5"/>
    <s v="Partial College"/>
    <x v="2"/>
    <s v="Yes"/>
    <n v="3"/>
    <s v="2-5 Miles"/>
    <x v="2"/>
    <n v="44"/>
    <s v="No"/>
  </r>
  <r>
    <n v="13754"/>
    <x v="1"/>
    <x v="0"/>
    <n v="80000"/>
    <n v="4"/>
    <s v="Graduate Degree"/>
    <x v="0"/>
    <s v="Yes"/>
    <n v="0"/>
    <s v="1-2 Miles"/>
    <x v="2"/>
    <n v="48"/>
    <s v="No"/>
  </r>
  <r>
    <n v="22088"/>
    <x v="0"/>
    <x v="0"/>
    <n v="130000"/>
    <n v="1"/>
    <s v="Bachelors"/>
    <x v="4"/>
    <s v="Yes"/>
    <n v="2"/>
    <s v="0-1 Miles"/>
    <x v="2"/>
    <n v="45"/>
    <s v="Yes"/>
  </r>
  <r>
    <n v="27388"/>
    <x v="0"/>
    <x v="1"/>
    <n v="60000"/>
    <n v="3"/>
    <s v="Bachelors"/>
    <x v="4"/>
    <s v="No"/>
    <n v="2"/>
    <s v="1-2 Miles"/>
    <x v="2"/>
    <n v="66"/>
    <s v="No"/>
  </r>
  <r>
    <n v="24745"/>
    <x v="1"/>
    <x v="0"/>
    <n v="30000"/>
    <n v="2"/>
    <s v="High School"/>
    <x v="0"/>
    <s v="No"/>
    <n v="2"/>
    <s v="0-1 Miles"/>
    <x v="2"/>
    <n v="49"/>
    <s v="No"/>
  </r>
  <r>
    <n v="29237"/>
    <x v="1"/>
    <x v="0"/>
    <n v="120000"/>
    <n v="4"/>
    <s v="Partial College"/>
    <x v="2"/>
    <s v="Yes"/>
    <n v="3"/>
    <s v="5-10 Miles"/>
    <x v="2"/>
    <n v="43"/>
    <s v="Yes"/>
  </r>
  <r>
    <n v="15272"/>
    <x v="1"/>
    <x v="1"/>
    <n v="40000"/>
    <n v="0"/>
    <s v="High School"/>
    <x v="0"/>
    <s v="No"/>
    <n v="2"/>
    <s v="1-2 Miles"/>
    <x v="2"/>
    <n v="30"/>
    <s v="No"/>
  </r>
  <r>
    <n v="18949"/>
    <x v="1"/>
    <x v="1"/>
    <n v="70000"/>
    <n v="0"/>
    <s v="Graduate Degree"/>
    <x v="4"/>
    <s v="Yes"/>
    <n v="2"/>
    <s v="5-10 Miles"/>
    <x v="2"/>
    <n v="74"/>
    <s v="Yes"/>
  </r>
  <r>
    <n v="14507"/>
    <x v="0"/>
    <x v="1"/>
    <n v="100000"/>
    <n v="2"/>
    <s v="Graduate Degree"/>
    <x v="4"/>
    <s v="Yes"/>
    <n v="3"/>
    <s v="1-2 Miles"/>
    <x v="2"/>
    <n v="65"/>
    <s v="No"/>
  </r>
  <r>
    <n v="25886"/>
    <x v="0"/>
    <x v="0"/>
    <n v="60000"/>
    <n v="2"/>
    <s v="Partial College"/>
    <x v="2"/>
    <s v="Yes"/>
    <n v="2"/>
    <s v="2-5 Miles"/>
    <x v="2"/>
    <n v="56"/>
    <s v="Yes"/>
  </r>
  <r>
    <n v="21441"/>
    <x v="0"/>
    <x v="1"/>
    <n v="50000"/>
    <n v="4"/>
    <s v="Bachelors"/>
    <x v="4"/>
    <s v="Yes"/>
    <n v="2"/>
    <s v="10+ Miles"/>
    <x v="2"/>
    <n v="64"/>
    <s v="No"/>
  </r>
  <r>
    <n v="21741"/>
    <x v="0"/>
    <x v="0"/>
    <n v="70000"/>
    <n v="3"/>
    <s v="Partial College"/>
    <x v="2"/>
    <s v="Yes"/>
    <n v="2"/>
    <s v="5-10 Miles"/>
    <x v="2"/>
    <n v="50"/>
    <s v="Yes"/>
  </r>
  <r>
    <n v="14572"/>
    <x v="0"/>
    <x v="0"/>
    <n v="70000"/>
    <n v="3"/>
    <s v="Graduate Degree"/>
    <x v="2"/>
    <s v="Yes"/>
    <n v="0"/>
    <s v="2-5 Miles"/>
    <x v="2"/>
    <n v="35"/>
    <s v="Yes"/>
  </r>
  <r>
    <n v="23368"/>
    <x v="0"/>
    <x v="0"/>
    <n v="60000"/>
    <n v="5"/>
    <s v="Bachelors"/>
    <x v="0"/>
    <s v="Yes"/>
    <n v="3"/>
    <s v="10+ Miles"/>
    <x v="2"/>
    <n v="41"/>
    <s v="No"/>
  </r>
  <r>
    <n v="16217"/>
    <x v="1"/>
    <x v="0"/>
    <n v="60000"/>
    <n v="0"/>
    <s v="Graduate Degree"/>
    <x v="0"/>
    <s v="Yes"/>
    <n v="0"/>
    <s v="0-1 Miles"/>
    <x v="2"/>
    <n v="39"/>
    <s v="No"/>
  </r>
  <r>
    <n v="16247"/>
    <x v="1"/>
    <x v="0"/>
    <n v="60000"/>
    <n v="4"/>
    <s v="Graduate Degree"/>
    <x v="0"/>
    <s v="No"/>
    <n v="0"/>
    <s v="1-2 Miles"/>
    <x v="2"/>
    <n v="47"/>
    <s v="No"/>
  </r>
  <r>
    <n v="22010"/>
    <x v="1"/>
    <x v="1"/>
    <n v="40000"/>
    <n v="0"/>
    <s v="High School"/>
    <x v="0"/>
    <s v="Yes"/>
    <n v="2"/>
    <s v="5-10 Miles"/>
    <x v="2"/>
    <n v="31"/>
    <s v="No"/>
  </r>
  <r>
    <n v="25872"/>
    <x v="1"/>
    <x v="0"/>
    <n v="70000"/>
    <n v="2"/>
    <s v="Bachelors"/>
    <x v="4"/>
    <s v="No"/>
    <n v="1"/>
    <s v="2-5 Miles"/>
    <x v="2"/>
    <n v="58"/>
    <s v="Yes"/>
  </r>
  <r>
    <n v="19164"/>
    <x v="1"/>
    <x v="0"/>
    <n v="70000"/>
    <n v="0"/>
    <s v="Bachelors"/>
    <x v="2"/>
    <s v="No"/>
    <n v="1"/>
    <s v="2-5 Miles"/>
    <x v="2"/>
    <n v="38"/>
    <s v="Yes"/>
  </r>
  <r>
    <n v="18435"/>
    <x v="1"/>
    <x v="0"/>
    <n v="70000"/>
    <n v="5"/>
    <s v="Graduate Degree"/>
    <x v="4"/>
    <s v="Yes"/>
    <n v="2"/>
    <s v="10+ Miles"/>
    <x v="2"/>
    <n v="67"/>
    <s v="Yes"/>
  </r>
  <r>
    <n v="14284"/>
    <x v="1"/>
    <x v="1"/>
    <n v="60000"/>
    <n v="0"/>
    <s v="Partial College"/>
    <x v="2"/>
    <s v="No"/>
    <n v="2"/>
    <s v="1-2 Miles"/>
    <x v="2"/>
    <n v="32"/>
    <s v="Yes"/>
  </r>
  <r>
    <n v="11287"/>
    <x v="0"/>
    <x v="1"/>
    <n v="70000"/>
    <n v="5"/>
    <s v="Partial College"/>
    <x v="2"/>
    <s v="No"/>
    <n v="3"/>
    <s v="5-10 Miles"/>
    <x v="2"/>
    <n v="45"/>
    <s v="No"/>
  </r>
  <r>
    <n v="13066"/>
    <x v="1"/>
    <x v="1"/>
    <n v="30000"/>
    <n v="0"/>
    <s v="High School"/>
    <x v="0"/>
    <s v="No"/>
    <n v="2"/>
    <s v="1-2 Miles"/>
    <x v="2"/>
    <n v="31"/>
    <s v="Yes"/>
  </r>
  <r>
    <n v="29106"/>
    <x v="1"/>
    <x v="1"/>
    <n v="40000"/>
    <n v="0"/>
    <s v="High School"/>
    <x v="0"/>
    <s v="No"/>
    <n v="2"/>
    <s v="1-2 Miles"/>
    <x v="2"/>
    <n v="31"/>
    <s v="Yes"/>
  </r>
  <r>
    <n v="26236"/>
    <x v="0"/>
    <x v="0"/>
    <n v="40000"/>
    <n v="3"/>
    <s v="Partial College"/>
    <x v="1"/>
    <s v="Yes"/>
    <n v="1"/>
    <s v="0-1 Miles"/>
    <x v="2"/>
    <n v="31"/>
    <s v="No"/>
  </r>
  <r>
    <n v="17531"/>
    <x v="0"/>
    <x v="1"/>
    <n v="60000"/>
    <n v="2"/>
    <s v="High School"/>
    <x v="2"/>
    <s v="No"/>
    <n v="2"/>
    <s v="5-10 Miles"/>
    <x v="2"/>
    <n v="50"/>
    <s v="No"/>
  </r>
  <r>
    <n v="12964"/>
    <x v="0"/>
    <x v="1"/>
    <n v="70000"/>
    <n v="1"/>
    <s v="Partial College"/>
    <x v="0"/>
    <s v="Yes"/>
    <n v="1"/>
    <s v="0-1 Miles"/>
    <x v="2"/>
    <n v="44"/>
    <s v="No"/>
  </r>
  <r>
    <n v="19133"/>
    <x v="1"/>
    <x v="1"/>
    <n v="50000"/>
    <n v="2"/>
    <s v="Bachelors"/>
    <x v="0"/>
    <s v="Yes"/>
    <n v="1"/>
    <s v="2-5 Miles"/>
    <x v="2"/>
    <n v="38"/>
    <s v="Yes"/>
  </r>
  <r>
    <n v="24643"/>
    <x v="1"/>
    <x v="0"/>
    <n v="60000"/>
    <n v="4"/>
    <s v="Bachelors"/>
    <x v="4"/>
    <s v="Yes"/>
    <n v="2"/>
    <s v="10+ Miles"/>
    <x v="2"/>
    <n v="63"/>
    <s v="No"/>
  </r>
  <r>
    <n v="21599"/>
    <x v="0"/>
    <x v="0"/>
    <n v="60000"/>
    <n v="1"/>
    <s v="Graduate Degree"/>
    <x v="2"/>
    <s v="Yes"/>
    <n v="0"/>
    <s v="2-5 Miles"/>
    <x v="2"/>
    <n v="36"/>
    <s v="Yes"/>
  </r>
  <r>
    <n v="22976"/>
    <x v="1"/>
    <x v="1"/>
    <n v="40000"/>
    <n v="0"/>
    <s v="High School"/>
    <x v="0"/>
    <s v="No"/>
    <n v="2"/>
    <s v="0-1 Miles"/>
    <x v="2"/>
    <n v="28"/>
    <s v="Yes"/>
  </r>
  <r>
    <n v="27637"/>
    <x v="1"/>
    <x v="0"/>
    <n v="100000"/>
    <n v="1"/>
    <s v="Partial College"/>
    <x v="2"/>
    <s v="No"/>
    <n v="3"/>
    <s v="1-2 Miles"/>
    <x v="2"/>
    <n v="44"/>
    <s v="No"/>
  </r>
  <r>
    <n v="11890"/>
    <x v="0"/>
    <x v="0"/>
    <n v="70000"/>
    <n v="5"/>
    <s v="Graduate Degree"/>
    <x v="2"/>
    <s v="Yes"/>
    <n v="1"/>
    <s v="0-1 Miles"/>
    <x v="2"/>
    <n v="47"/>
    <s v="No"/>
  </r>
  <r>
    <n v="28580"/>
    <x v="0"/>
    <x v="0"/>
    <n v="80000"/>
    <n v="0"/>
    <s v="Graduate Degree"/>
    <x v="0"/>
    <s v="Yes"/>
    <n v="0"/>
    <s v="1-2 Miles"/>
    <x v="2"/>
    <n v="40"/>
    <s v="Yes"/>
  </r>
  <r>
    <n v="14443"/>
    <x v="0"/>
    <x v="1"/>
    <n v="130000"/>
    <n v="1"/>
    <s v="Graduate Degree"/>
    <x v="4"/>
    <s v="Yes"/>
    <n v="4"/>
    <s v="0-1 Miles"/>
    <x v="2"/>
    <n v="40"/>
    <s v="No"/>
  </r>
  <r>
    <n v="17864"/>
    <x v="0"/>
    <x v="0"/>
    <n v="60000"/>
    <n v="1"/>
    <s v="Partial College"/>
    <x v="0"/>
    <s v="Yes"/>
    <n v="1"/>
    <s v="2-5 Miles"/>
    <x v="2"/>
    <n v="46"/>
    <s v="Yes"/>
  </r>
  <r>
    <n v="20505"/>
    <x v="0"/>
    <x v="0"/>
    <n v="40000"/>
    <n v="5"/>
    <s v="High School"/>
    <x v="2"/>
    <s v="No"/>
    <n v="2"/>
    <s v="10+ Miles"/>
    <x v="2"/>
    <n v="61"/>
    <s v="No"/>
  </r>
  <r>
    <n v="14592"/>
    <x v="0"/>
    <x v="0"/>
    <n v="60000"/>
    <n v="0"/>
    <s v="Graduate Degree"/>
    <x v="2"/>
    <s v="Yes"/>
    <n v="0"/>
    <s v="0-1 Miles"/>
    <x v="2"/>
    <n v="40"/>
    <s v="No"/>
  </r>
  <r>
    <n v="22227"/>
    <x v="0"/>
    <x v="0"/>
    <n v="60000"/>
    <n v="2"/>
    <s v="High School"/>
    <x v="2"/>
    <s v="Yes"/>
    <n v="2"/>
    <s v="5-10 Miles"/>
    <x v="2"/>
    <n v="50"/>
    <s v="No"/>
  </r>
  <r>
    <n v="21471"/>
    <x v="0"/>
    <x v="1"/>
    <n v="70000"/>
    <n v="2"/>
    <s v="Partial College"/>
    <x v="2"/>
    <s v="Yes"/>
    <n v="1"/>
    <s v="10+ Miles"/>
    <x v="2"/>
    <n v="59"/>
    <s v="No"/>
  </r>
  <r>
    <n v="22252"/>
    <x v="1"/>
    <x v="0"/>
    <n v="60000"/>
    <n v="1"/>
    <s v="Graduate Degree"/>
    <x v="2"/>
    <s v="Yes"/>
    <n v="0"/>
    <s v="2-5 Miles"/>
    <x v="2"/>
    <n v="36"/>
    <s v="Yes"/>
  </r>
  <r>
    <n v="21260"/>
    <x v="1"/>
    <x v="0"/>
    <n v="40000"/>
    <n v="0"/>
    <s v="High School"/>
    <x v="0"/>
    <s v="Yes"/>
    <n v="2"/>
    <s v="5-10 Miles"/>
    <x v="2"/>
    <n v="30"/>
    <s v="No"/>
  </r>
  <r>
    <n v="11817"/>
    <x v="1"/>
    <x v="0"/>
    <n v="70000"/>
    <n v="4"/>
    <s v="Graduate Degree"/>
    <x v="2"/>
    <s v="Yes"/>
    <n v="0"/>
    <s v="2-5 Miles"/>
    <x v="2"/>
    <n v="35"/>
    <s v="Yes"/>
  </r>
  <r>
    <n v="19223"/>
    <x v="0"/>
    <x v="0"/>
    <n v="30000"/>
    <n v="2"/>
    <s v="High School"/>
    <x v="0"/>
    <s v="Yes"/>
    <n v="2"/>
    <s v="1-2 Miles"/>
    <x v="2"/>
    <n v="48"/>
    <s v="No"/>
  </r>
  <r>
    <n v="18517"/>
    <x v="0"/>
    <x v="1"/>
    <n v="100000"/>
    <n v="3"/>
    <s v="Bachelors"/>
    <x v="4"/>
    <s v="Yes"/>
    <n v="4"/>
    <s v="0-1 Miles"/>
    <x v="2"/>
    <n v="41"/>
    <s v="No"/>
  </r>
  <r>
    <n v="21717"/>
    <x v="0"/>
    <x v="1"/>
    <n v="40000"/>
    <n v="2"/>
    <s v="Partial College"/>
    <x v="1"/>
    <s v="Yes"/>
    <n v="1"/>
    <s v="0-1 Miles"/>
    <x v="2"/>
    <n v="47"/>
    <s v="No"/>
  </r>
  <r>
    <n v="13760"/>
    <x v="0"/>
    <x v="1"/>
    <n v="60000"/>
    <n v="4"/>
    <s v="Graduate Degree"/>
    <x v="0"/>
    <s v="No"/>
    <n v="0"/>
    <s v="0-1 Miles"/>
    <x v="2"/>
    <n v="47"/>
    <s v="No"/>
  </r>
  <r>
    <n v="18145"/>
    <x v="0"/>
    <x v="1"/>
    <n v="80000"/>
    <n v="5"/>
    <s v="Bachelors"/>
    <x v="4"/>
    <s v="No"/>
    <n v="2"/>
    <s v="2-5 Miles"/>
    <x v="0"/>
    <n v="62"/>
    <s v="No"/>
  </r>
  <r>
    <n v="21770"/>
    <x v="0"/>
    <x v="1"/>
    <n v="60000"/>
    <n v="4"/>
    <s v="Bachelors"/>
    <x v="4"/>
    <s v="Yes"/>
    <n v="2"/>
    <s v="10+ Miles"/>
    <x v="2"/>
    <n v="60"/>
    <s v="No"/>
  </r>
  <r>
    <n v="11165"/>
    <x v="0"/>
    <x v="0"/>
    <n v="60000"/>
    <n v="0"/>
    <s v="Partial College"/>
    <x v="0"/>
    <s v="No"/>
    <n v="1"/>
    <s v="1-2 Miles"/>
    <x v="2"/>
    <n v="33"/>
    <s v="No"/>
  </r>
  <r>
    <n v="16377"/>
    <x v="1"/>
    <x v="0"/>
    <n v="80000"/>
    <n v="4"/>
    <s v="Graduate Degree"/>
    <x v="0"/>
    <s v="No"/>
    <n v="0"/>
    <s v="0-1 Miles"/>
    <x v="2"/>
    <n v="47"/>
    <s v="No"/>
  </r>
  <r>
    <n v="26248"/>
    <x v="0"/>
    <x v="1"/>
    <n v="20000"/>
    <n v="3"/>
    <s v="Partial High School"/>
    <x v="1"/>
    <s v="No"/>
    <n v="2"/>
    <s v="0-1 Miles"/>
    <x v="2"/>
    <n v="52"/>
    <s v="No"/>
  </r>
  <r>
    <n v="23461"/>
    <x v="0"/>
    <x v="0"/>
    <n v="90000"/>
    <n v="5"/>
    <s v="Partial College"/>
    <x v="2"/>
    <s v="Yes"/>
    <n v="3"/>
    <s v="2-5 Miles"/>
    <x v="2"/>
    <n v="40"/>
    <s v="No"/>
  </r>
  <r>
    <n v="29133"/>
    <x v="1"/>
    <x v="0"/>
    <n v="60000"/>
    <n v="4"/>
    <s v="Bachelors"/>
    <x v="0"/>
    <s v="No"/>
    <n v="2"/>
    <s v="0-1 Miles"/>
    <x v="2"/>
    <n v="42"/>
    <s v="No"/>
  </r>
  <r>
    <n v="27673"/>
    <x v="1"/>
    <x v="0"/>
    <n v="60000"/>
    <n v="3"/>
    <s v="Graduate Degree"/>
    <x v="4"/>
    <s v="Yes"/>
    <n v="2"/>
    <s v="5-10 Miles"/>
    <x v="2"/>
    <n v="53"/>
    <s v="Yes"/>
  </r>
  <r>
    <n v="12774"/>
    <x v="0"/>
    <x v="0"/>
    <n v="40000"/>
    <n v="1"/>
    <s v="Partial College"/>
    <x v="1"/>
    <s v="Yes"/>
    <n v="1"/>
    <s v="1-2 Miles"/>
    <x v="2"/>
    <n v="51"/>
    <s v="Yes"/>
  </r>
  <r>
    <n v="18910"/>
    <x v="1"/>
    <x v="1"/>
    <n v="30000"/>
    <n v="0"/>
    <s v="Partial College"/>
    <x v="0"/>
    <s v="Yes"/>
    <n v="2"/>
    <s v="5-10 Miles"/>
    <x v="2"/>
    <n v="30"/>
    <s v="No"/>
  </r>
  <r>
    <n v="11699"/>
    <x v="1"/>
    <x v="1"/>
    <n v="60000"/>
    <n v="0"/>
    <s v="Bachelors"/>
    <x v="0"/>
    <s v="No"/>
    <n v="2"/>
    <s v="0-1 Miles"/>
    <x v="2"/>
    <n v="30"/>
    <s v="No"/>
  </r>
  <r>
    <n v="16725"/>
    <x v="0"/>
    <x v="1"/>
    <n v="30000"/>
    <n v="0"/>
    <s v="High School"/>
    <x v="0"/>
    <s v="Yes"/>
    <n v="2"/>
    <s v="5-10 Miles"/>
    <x v="2"/>
    <n v="26"/>
    <s v="No"/>
  </r>
  <r>
    <n v="28269"/>
    <x v="1"/>
    <x v="0"/>
    <n v="130000"/>
    <n v="1"/>
    <s v="Bachelors"/>
    <x v="4"/>
    <s v="No"/>
    <n v="1"/>
    <s v="2-5 Miles"/>
    <x v="2"/>
    <n v="45"/>
    <s v="No"/>
  </r>
  <r>
    <n v="23144"/>
    <x v="0"/>
    <x v="1"/>
    <n v="50000"/>
    <n v="1"/>
    <s v="Bachelors"/>
    <x v="0"/>
    <s v="Yes"/>
    <n v="0"/>
    <s v="0-1 Miles"/>
    <x v="2"/>
    <n v="34"/>
    <s v="Yes"/>
  </r>
  <r>
    <n v="23376"/>
    <x v="0"/>
    <x v="1"/>
    <n v="70000"/>
    <n v="1"/>
    <s v="Bachelors"/>
    <x v="2"/>
    <s v="Yes"/>
    <n v="1"/>
    <s v="2-5 Miles"/>
    <x v="2"/>
    <n v="44"/>
    <s v="Yes"/>
  </r>
  <r>
    <n v="25970"/>
    <x v="1"/>
    <x v="0"/>
    <n v="60000"/>
    <n v="4"/>
    <s v="Bachelors"/>
    <x v="0"/>
    <s v="No"/>
    <n v="2"/>
    <s v="0-1 Miles"/>
    <x v="2"/>
    <n v="41"/>
    <s v="Yes"/>
  </r>
  <r>
    <n v="28068"/>
    <x v="1"/>
    <x v="0"/>
    <n v="80000"/>
    <n v="3"/>
    <s v="Graduate Degree"/>
    <x v="2"/>
    <s v="No"/>
    <n v="0"/>
    <s v="0-1 Miles"/>
    <x v="2"/>
    <n v="36"/>
    <s v="Yes"/>
  </r>
  <r>
    <n v="18390"/>
    <x v="0"/>
    <x v="1"/>
    <n v="80000"/>
    <n v="5"/>
    <s v="Partial College"/>
    <x v="2"/>
    <s v="Yes"/>
    <n v="2"/>
    <s v="0-1 Miles"/>
    <x v="2"/>
    <n v="44"/>
    <s v="No"/>
  </r>
  <r>
    <n v="29112"/>
    <x v="1"/>
    <x v="1"/>
    <n v="60000"/>
    <n v="0"/>
    <s v="Partial College"/>
    <x v="2"/>
    <s v="No"/>
    <n v="2"/>
    <s v="1-2 Miles"/>
    <x v="2"/>
    <n v="30"/>
    <s v="No"/>
  </r>
  <r>
    <n v="14090"/>
    <x v="0"/>
    <x v="0"/>
    <n v="30000"/>
    <n v="0"/>
    <s v="Partial High School"/>
    <x v="1"/>
    <s v="No"/>
    <n v="2"/>
    <s v="0-1 Miles"/>
    <x v="2"/>
    <n v="28"/>
    <s v="No"/>
  </r>
  <r>
    <n v="27040"/>
    <x v="0"/>
    <x v="1"/>
    <n v="20000"/>
    <n v="2"/>
    <s v="Partial High School"/>
    <x v="1"/>
    <s v="Yes"/>
    <n v="2"/>
    <s v="1-2 Miles"/>
    <x v="2"/>
    <n v="49"/>
    <s v="No"/>
  </r>
  <r>
    <n v="23479"/>
    <x v="1"/>
    <x v="1"/>
    <n v="90000"/>
    <n v="0"/>
    <s v="Partial College"/>
    <x v="2"/>
    <s v="No"/>
    <n v="2"/>
    <s v="0-1 Miles"/>
    <x v="2"/>
    <n v="43"/>
    <s v="Yes"/>
  </r>
  <r>
    <n v="16795"/>
    <x v="0"/>
    <x v="0"/>
    <n v="70000"/>
    <n v="4"/>
    <s v="Bachelors"/>
    <x v="4"/>
    <s v="Yes"/>
    <n v="1"/>
    <s v="1-2 Miles"/>
    <x v="2"/>
    <n v="59"/>
    <s v="No"/>
  </r>
  <r>
    <n v="22014"/>
    <x v="1"/>
    <x v="1"/>
    <n v="30000"/>
    <n v="0"/>
    <s v="High School"/>
    <x v="0"/>
    <s v="Yes"/>
    <n v="2"/>
    <s v="5-10 Miles"/>
    <x v="2"/>
    <n v="26"/>
    <s v="No"/>
  </r>
  <r>
    <n v="13314"/>
    <x v="0"/>
    <x v="1"/>
    <n v="120000"/>
    <n v="1"/>
    <s v="High School"/>
    <x v="2"/>
    <s v="Yes"/>
    <n v="4"/>
    <s v="5-10 Miles"/>
    <x v="2"/>
    <n v="46"/>
    <s v="Yes"/>
  </r>
  <r>
    <n v="11619"/>
    <x v="1"/>
    <x v="0"/>
    <n v="50000"/>
    <n v="0"/>
    <s v="Graduate Degree"/>
    <x v="0"/>
    <s v="Yes"/>
    <n v="0"/>
    <s v="1-2 Miles"/>
    <x v="2"/>
    <n v="33"/>
    <s v="No"/>
  </r>
  <r>
    <n v="29132"/>
    <x v="1"/>
    <x v="0"/>
    <n v="40000"/>
    <n v="0"/>
    <s v="Bachelors"/>
    <x v="2"/>
    <s v="Yes"/>
    <n v="1"/>
    <s v="2-5 Miles"/>
    <x v="2"/>
    <n v="42"/>
    <s v="Yes"/>
  </r>
  <r>
    <n v="11199"/>
    <x v="0"/>
    <x v="0"/>
    <n v="70000"/>
    <n v="4"/>
    <s v="Bachelors"/>
    <x v="4"/>
    <s v="Yes"/>
    <n v="1"/>
    <s v="10+ Miles"/>
    <x v="2"/>
    <n v="59"/>
    <s v="No"/>
  </r>
  <r>
    <n v="20296"/>
    <x v="1"/>
    <x v="0"/>
    <n v="60000"/>
    <n v="0"/>
    <s v="Partial College"/>
    <x v="0"/>
    <s v="No"/>
    <n v="1"/>
    <s v="1-2 Miles"/>
    <x v="2"/>
    <n v="33"/>
    <s v="Yes"/>
  </r>
  <r>
    <n v="17546"/>
    <x v="0"/>
    <x v="0"/>
    <n v="70000"/>
    <n v="1"/>
    <s v="Partial College"/>
    <x v="0"/>
    <s v="Yes"/>
    <n v="1"/>
    <s v="0-1 Miles"/>
    <x v="2"/>
    <n v="44"/>
    <s v="Yes"/>
  </r>
  <r>
    <n v="18069"/>
    <x v="0"/>
    <x v="1"/>
    <n v="70000"/>
    <n v="5"/>
    <s v="Bachelors"/>
    <x v="4"/>
    <s v="Yes"/>
    <n v="4"/>
    <s v="10+ Miles"/>
    <x v="2"/>
    <n v="60"/>
    <s v="No"/>
  </r>
  <r>
    <n v="23712"/>
    <x v="1"/>
    <x v="0"/>
    <n v="70000"/>
    <n v="2"/>
    <s v="Bachelors"/>
    <x v="4"/>
    <s v="Yes"/>
    <n v="1"/>
    <s v="10+ Miles"/>
    <x v="2"/>
    <n v="59"/>
    <s v="No"/>
  </r>
  <r>
    <n v="23358"/>
    <x v="0"/>
    <x v="1"/>
    <n v="60000"/>
    <n v="0"/>
    <s v="High School"/>
    <x v="2"/>
    <s v="Yes"/>
    <n v="2"/>
    <s v="5-10 Miles"/>
    <x v="2"/>
    <n v="32"/>
    <s v="Yes"/>
  </r>
  <r>
    <n v="20518"/>
    <x v="0"/>
    <x v="0"/>
    <n v="70000"/>
    <n v="2"/>
    <s v="Partial College"/>
    <x v="2"/>
    <s v="Yes"/>
    <n v="1"/>
    <s v="10+ Miles"/>
    <x v="2"/>
    <n v="58"/>
    <s v="No"/>
  </r>
  <r>
    <n v="28026"/>
    <x v="0"/>
    <x v="0"/>
    <n v="40000"/>
    <n v="2"/>
    <s v="High School"/>
    <x v="2"/>
    <s v="No"/>
    <n v="2"/>
    <s v="2-5 Miles"/>
    <x v="2"/>
    <n v="59"/>
    <s v="No"/>
  </r>
  <r>
    <n v="11669"/>
    <x v="1"/>
    <x v="0"/>
    <n v="70000"/>
    <n v="2"/>
    <s v="Bachelors"/>
    <x v="0"/>
    <s v="Yes"/>
    <n v="1"/>
    <s v="2-5 Miles"/>
    <x v="2"/>
    <n v="38"/>
    <s v="No"/>
  </r>
  <r>
    <n v="16020"/>
    <x v="0"/>
    <x v="1"/>
    <n v="40000"/>
    <n v="0"/>
    <s v="High School"/>
    <x v="0"/>
    <s v="Yes"/>
    <n v="2"/>
    <s v="5-10 Miles"/>
    <x v="2"/>
    <n v="28"/>
    <s v="Yes"/>
  </r>
  <r>
    <n v="27090"/>
    <x v="0"/>
    <x v="0"/>
    <n v="60000"/>
    <n v="1"/>
    <s v="Graduate Degree"/>
    <x v="2"/>
    <s v="Yes"/>
    <n v="0"/>
    <s v="2-5 Miles"/>
    <x v="2"/>
    <n v="37"/>
    <s v="Yes"/>
  </r>
  <r>
    <n v="27198"/>
    <x v="1"/>
    <x v="0"/>
    <n v="80000"/>
    <n v="0"/>
    <s v="Graduate Degree"/>
    <x v="0"/>
    <s v="No"/>
    <n v="0"/>
    <s v="0-1 Miles"/>
    <x v="2"/>
    <n v="40"/>
    <s v="No"/>
  </r>
  <r>
    <n v="19661"/>
    <x v="1"/>
    <x v="1"/>
    <n v="90000"/>
    <n v="4"/>
    <s v="Bachelors"/>
    <x v="4"/>
    <s v="Yes"/>
    <n v="1"/>
    <s v="1-2 Miles"/>
    <x v="2"/>
    <n v="38"/>
    <s v="Yes"/>
  </r>
  <r>
    <n v="26327"/>
    <x v="0"/>
    <x v="1"/>
    <n v="70000"/>
    <n v="4"/>
    <s v="Graduate Degree"/>
    <x v="2"/>
    <s v="Yes"/>
    <n v="0"/>
    <s v="2-5 Miles"/>
    <x v="2"/>
    <n v="36"/>
    <s v="Yes"/>
  </r>
  <r>
    <n v="26341"/>
    <x v="0"/>
    <x v="0"/>
    <n v="70000"/>
    <n v="5"/>
    <s v="Graduate Degree"/>
    <x v="2"/>
    <s v="Yes"/>
    <n v="2"/>
    <s v="0-1 Miles"/>
    <x v="2"/>
    <n v="37"/>
    <s v="No"/>
  </r>
  <r>
    <n v="24958"/>
    <x v="1"/>
    <x v="0"/>
    <n v="40000"/>
    <n v="5"/>
    <s v="High School"/>
    <x v="2"/>
    <s v="No"/>
    <n v="3"/>
    <s v="2-5 Miles"/>
    <x v="2"/>
    <n v="60"/>
    <s v="Yes"/>
  </r>
  <r>
    <n v="13287"/>
    <x v="1"/>
    <x v="1"/>
    <n v="110000"/>
    <n v="4"/>
    <s v="Bachelors"/>
    <x v="4"/>
    <s v="Yes"/>
    <n v="4"/>
    <s v="5-10 Miles"/>
    <x v="2"/>
    <n v="42"/>
    <s v="Yes"/>
  </r>
  <r>
    <n v="14493"/>
    <x v="1"/>
    <x v="0"/>
    <n v="70000"/>
    <n v="3"/>
    <s v="Graduate Degree"/>
    <x v="4"/>
    <s v="No"/>
    <n v="2"/>
    <s v="1-2 Miles"/>
    <x v="2"/>
    <n v="53"/>
    <s v="No"/>
  </r>
  <r>
    <n v="26678"/>
    <x v="1"/>
    <x v="0"/>
    <n v="80000"/>
    <n v="2"/>
    <s v="Partial High School"/>
    <x v="0"/>
    <s v="Yes"/>
    <n v="2"/>
    <s v="5-10 Miles"/>
    <x v="2"/>
    <n v="49"/>
    <s v="No"/>
  </r>
  <r>
    <n v="23275"/>
    <x v="0"/>
    <x v="1"/>
    <n v="30000"/>
    <n v="2"/>
    <s v="High School"/>
    <x v="0"/>
    <s v="Yes"/>
    <n v="2"/>
    <s v="1-2 Miles"/>
    <x v="2"/>
    <n v="49"/>
    <s v="No"/>
  </r>
  <r>
    <n v="11270"/>
    <x v="0"/>
    <x v="1"/>
    <n v="130000"/>
    <n v="2"/>
    <s v="Graduate Degree"/>
    <x v="4"/>
    <s v="Yes"/>
    <n v="3"/>
    <s v="0-1 Miles"/>
    <x v="2"/>
    <n v="42"/>
    <s v="Yes"/>
  </r>
  <r>
    <n v="20084"/>
    <x v="0"/>
    <x v="1"/>
    <n v="20000"/>
    <n v="2"/>
    <s v="High School"/>
    <x v="3"/>
    <s v="No"/>
    <n v="2"/>
    <s v="0-1 Miles"/>
    <x v="2"/>
    <n v="53"/>
    <s v="No"/>
  </r>
  <r>
    <n v="16144"/>
    <x v="0"/>
    <x v="1"/>
    <n v="70000"/>
    <n v="1"/>
    <s v="Graduate Degree"/>
    <x v="2"/>
    <s v="Yes"/>
    <n v="1"/>
    <s v="0-1 Miles"/>
    <x v="2"/>
    <n v="46"/>
    <s v="Yes"/>
  </r>
  <r>
    <n v="27731"/>
    <x v="0"/>
    <x v="1"/>
    <n v="40000"/>
    <n v="0"/>
    <s v="High School"/>
    <x v="0"/>
    <s v="Yes"/>
    <n v="2"/>
    <s v="5-10 Miles"/>
    <x v="2"/>
    <n v="27"/>
    <s v="No"/>
  </r>
  <r>
    <n v="11886"/>
    <x v="0"/>
    <x v="0"/>
    <n v="60000"/>
    <n v="3"/>
    <s v="Bachelors"/>
    <x v="2"/>
    <s v="Yes"/>
    <n v="1"/>
    <s v="0-1 Miles"/>
    <x v="2"/>
    <n v="48"/>
    <s v="Yes"/>
  </r>
  <r>
    <n v="24324"/>
    <x v="1"/>
    <x v="0"/>
    <n v="60000"/>
    <n v="4"/>
    <s v="Bachelors"/>
    <x v="0"/>
    <s v="Yes"/>
    <n v="2"/>
    <s v="2-5 Miles"/>
    <x v="2"/>
    <n v="41"/>
    <s v="Yes"/>
  </r>
  <r>
    <n v="22220"/>
    <x v="0"/>
    <x v="1"/>
    <n v="60000"/>
    <n v="2"/>
    <s v="High School"/>
    <x v="2"/>
    <s v="No"/>
    <n v="2"/>
    <s v="1-2 Miles"/>
    <x v="2"/>
    <n v="49"/>
    <s v="Yes"/>
  </r>
  <r>
    <n v="26625"/>
    <x v="1"/>
    <x v="0"/>
    <n v="60000"/>
    <n v="0"/>
    <s v="Graduate Degree"/>
    <x v="2"/>
    <s v="Yes"/>
    <n v="1"/>
    <s v="2-5 Miles"/>
    <x v="2"/>
    <n v="38"/>
    <s v="Yes"/>
  </r>
  <r>
    <n v="23027"/>
    <x v="1"/>
    <x v="1"/>
    <n v="130000"/>
    <n v="1"/>
    <s v="Bachelors"/>
    <x v="4"/>
    <s v="No"/>
    <n v="4"/>
    <s v="0-1 Miles"/>
    <x v="2"/>
    <n v="44"/>
    <s v="No"/>
  </r>
  <r>
    <n v="16867"/>
    <x v="1"/>
    <x v="0"/>
    <n v="130000"/>
    <n v="1"/>
    <s v="Bachelors"/>
    <x v="4"/>
    <s v="No"/>
    <n v="3"/>
    <s v="0-1 Miles"/>
    <x v="2"/>
    <n v="45"/>
    <s v="Yes"/>
  </r>
  <r>
    <n v="14514"/>
    <x v="1"/>
    <x v="0"/>
    <n v="30000"/>
    <n v="0"/>
    <s v="Partial College"/>
    <x v="0"/>
    <s v="Yes"/>
    <n v="1"/>
    <s v="5-10 Miles"/>
    <x v="2"/>
    <n v="26"/>
    <s v="No"/>
  </r>
  <r>
    <n v="19634"/>
    <x v="0"/>
    <x v="1"/>
    <n v="40000"/>
    <n v="0"/>
    <s v="High School"/>
    <x v="0"/>
    <s v="Yes"/>
    <n v="1"/>
    <s v="5-10 Miles"/>
    <x v="2"/>
    <n v="31"/>
    <s v="No"/>
  </r>
  <r>
    <n v="18504"/>
    <x v="0"/>
    <x v="1"/>
    <n v="70000"/>
    <n v="2"/>
    <s v="Partial High School"/>
    <x v="0"/>
    <s v="No"/>
    <n v="2"/>
    <s v="1-2 Miles"/>
    <x v="2"/>
    <n v="49"/>
    <s v="No"/>
  </r>
  <r>
    <n v="28799"/>
    <x v="1"/>
    <x v="0"/>
    <n v="40000"/>
    <n v="2"/>
    <s v="Partial College"/>
    <x v="1"/>
    <s v="No"/>
    <n v="1"/>
    <s v="1-2 Miles"/>
    <x v="2"/>
    <n v="47"/>
    <s v="Yes"/>
  </r>
  <r>
    <n v="11225"/>
    <x v="0"/>
    <x v="0"/>
    <n v="60000"/>
    <n v="2"/>
    <s v="Partial College"/>
    <x v="2"/>
    <s v="Yes"/>
    <n v="1"/>
    <s v="10+ Miles"/>
    <x v="2"/>
    <n v="55"/>
    <s v="No"/>
  </r>
  <r>
    <n v="17657"/>
    <x v="0"/>
    <x v="1"/>
    <n v="40000"/>
    <n v="4"/>
    <s v="Partial College"/>
    <x v="1"/>
    <s v="No"/>
    <n v="0"/>
    <s v="0-1 Miles"/>
    <x v="2"/>
    <n v="30"/>
    <s v="No"/>
  </r>
  <r>
    <n v="14913"/>
    <x v="0"/>
    <x v="0"/>
    <n v="40000"/>
    <n v="1"/>
    <s v="Partial College"/>
    <x v="1"/>
    <s v="Yes"/>
    <n v="1"/>
    <s v="1-2 Miles"/>
    <x v="2"/>
    <n v="48"/>
    <s v="Yes"/>
  </r>
  <r>
    <n v="14077"/>
    <x v="1"/>
    <x v="1"/>
    <n v="30000"/>
    <n v="0"/>
    <s v="High School"/>
    <x v="0"/>
    <s v="Yes"/>
    <n v="2"/>
    <s v="5-10 Miles"/>
    <x v="2"/>
    <n v="30"/>
    <s v="No"/>
  </r>
  <r>
    <n v="13296"/>
    <x v="0"/>
    <x v="1"/>
    <n v="110000"/>
    <n v="1"/>
    <s v="Bachelors"/>
    <x v="4"/>
    <s v="Yes"/>
    <n v="3"/>
    <s v="5-10 Miles"/>
    <x v="2"/>
    <n v="45"/>
    <s v="No"/>
  </r>
  <r>
    <n v="20535"/>
    <x v="0"/>
    <x v="0"/>
    <n v="70000"/>
    <n v="4"/>
    <s v="Partial College"/>
    <x v="2"/>
    <s v="Yes"/>
    <n v="1"/>
    <s v="10+ Miles"/>
    <x v="2"/>
    <n v="56"/>
    <s v="No"/>
  </r>
  <r>
    <n v="12452"/>
    <x v="0"/>
    <x v="1"/>
    <n v="60000"/>
    <n v="4"/>
    <s v="Graduate Degree"/>
    <x v="0"/>
    <s v="Yes"/>
    <n v="0"/>
    <s v="1-2 Miles"/>
    <x v="2"/>
    <n v="47"/>
    <s v="Yes"/>
  </r>
  <r>
    <n v="28043"/>
    <x v="0"/>
    <x v="0"/>
    <n v="60000"/>
    <n v="2"/>
    <s v="Bachelors"/>
    <x v="4"/>
    <s v="Yes"/>
    <n v="0"/>
    <s v="10+ Miles"/>
    <x v="2"/>
    <n v="56"/>
    <s v="No"/>
  </r>
  <r>
    <n v="12957"/>
    <x v="1"/>
    <x v="0"/>
    <n v="70000"/>
    <n v="1"/>
    <s v="Bachelors"/>
    <x v="2"/>
    <s v="No"/>
    <n v="1"/>
    <s v="0-1 Miles"/>
    <x v="2"/>
    <n v="44"/>
    <s v="No"/>
  </r>
  <r>
    <n v="15412"/>
    <x v="0"/>
    <x v="1"/>
    <n v="130000"/>
    <n v="2"/>
    <s v="Graduate Degree"/>
    <x v="4"/>
    <s v="Yes"/>
    <n v="3"/>
    <s v="2-5 Miles"/>
    <x v="2"/>
    <n v="69"/>
    <s v="No"/>
  </r>
  <r>
    <n v="20514"/>
    <x v="0"/>
    <x v="0"/>
    <n v="70000"/>
    <n v="2"/>
    <s v="Partial College"/>
    <x v="2"/>
    <s v="Yes"/>
    <n v="1"/>
    <s v="2-5 Miles"/>
    <x v="2"/>
    <n v="59"/>
    <s v="No"/>
  </r>
  <r>
    <n v="20758"/>
    <x v="0"/>
    <x v="1"/>
    <n v="30000"/>
    <n v="2"/>
    <s v="High School"/>
    <x v="0"/>
    <s v="Yes"/>
    <n v="2"/>
    <s v="1-2 Miles"/>
    <x v="2"/>
    <n v="50"/>
    <s v="No"/>
  </r>
  <r>
    <n v="11801"/>
    <x v="0"/>
    <x v="1"/>
    <n v="60000"/>
    <n v="1"/>
    <s v="Graduate Degree"/>
    <x v="2"/>
    <s v="Yes"/>
    <n v="0"/>
    <s v="2-5 Miles"/>
    <x v="2"/>
    <n v="36"/>
    <s v="No"/>
  </r>
  <r>
    <n v="22211"/>
    <x v="0"/>
    <x v="1"/>
    <n v="60000"/>
    <n v="0"/>
    <s v="Partial College"/>
    <x v="2"/>
    <s v="Yes"/>
    <n v="2"/>
    <s v="5-10 Miles"/>
    <x v="2"/>
    <n v="32"/>
    <s v="No"/>
  </r>
  <r>
    <n v="28087"/>
    <x v="1"/>
    <x v="0"/>
    <n v="40000"/>
    <n v="0"/>
    <s v="Partial College"/>
    <x v="0"/>
    <s v="No"/>
    <n v="1"/>
    <s v="1-2 Miles"/>
    <x v="2"/>
    <n v="27"/>
    <s v="No"/>
  </r>
  <r>
    <n v="23668"/>
    <x v="0"/>
    <x v="0"/>
    <n v="40000"/>
    <n v="4"/>
    <s v="High School"/>
    <x v="2"/>
    <s v="Yes"/>
    <n v="2"/>
    <s v="5-10 Miles"/>
    <x v="2"/>
    <n v="59"/>
    <s v="Yes"/>
  </r>
  <r>
    <n v="27441"/>
    <x v="0"/>
    <x v="1"/>
    <n v="60000"/>
    <n v="3"/>
    <s v="High School"/>
    <x v="2"/>
    <s v="No"/>
    <n v="2"/>
    <s v="2-5 Miles"/>
    <x v="2"/>
    <n v="53"/>
    <s v="No"/>
  </r>
  <r>
    <n v="27261"/>
    <x v="0"/>
    <x v="1"/>
    <n v="40000"/>
    <n v="1"/>
    <s v="Bachelors"/>
    <x v="0"/>
    <s v="No"/>
    <n v="1"/>
    <s v="0-1 Miles"/>
    <x v="2"/>
    <n v="36"/>
    <s v="Yes"/>
  </r>
  <r>
    <n v="18649"/>
    <x v="1"/>
    <x v="1"/>
    <n v="30000"/>
    <n v="1"/>
    <s v="High School"/>
    <x v="1"/>
    <s v="Yes"/>
    <n v="2"/>
    <s v="1-2 Miles"/>
    <x v="2"/>
    <n v="51"/>
    <s v="Yes"/>
  </r>
  <r>
    <n v="21714"/>
    <x v="1"/>
    <x v="0"/>
    <n v="80000"/>
    <n v="5"/>
    <s v="Graduate Degree"/>
    <x v="0"/>
    <s v="No"/>
    <n v="0"/>
    <s v="0-1 Miles"/>
    <x v="2"/>
    <n v="47"/>
    <s v="No"/>
  </r>
  <r>
    <n v="23217"/>
    <x v="1"/>
    <x v="0"/>
    <n v="60000"/>
    <n v="3"/>
    <s v="Graduate Degree"/>
    <x v="2"/>
    <s v="Yes"/>
    <n v="0"/>
    <s v="2-5 Miles"/>
    <x v="2"/>
    <n v="43"/>
    <s v="Yes"/>
  </r>
  <r>
    <n v="23797"/>
    <x v="1"/>
    <x v="1"/>
    <n v="20000"/>
    <n v="3"/>
    <s v="Partial High School"/>
    <x v="1"/>
    <s v="No"/>
    <n v="2"/>
    <s v="0-1 Miles"/>
    <x v="2"/>
    <n v="50"/>
    <s v="No"/>
  </r>
  <r>
    <n v="13216"/>
    <x v="0"/>
    <x v="0"/>
    <n v="60000"/>
    <n v="5"/>
    <s v="Bachelors"/>
    <x v="4"/>
    <s v="Yes"/>
    <n v="3"/>
    <s v="10+ Miles"/>
    <x v="2"/>
    <n v="59"/>
    <s v="No"/>
  </r>
  <r>
    <n v="20657"/>
    <x v="1"/>
    <x v="1"/>
    <n v="50000"/>
    <n v="2"/>
    <s v="Bachelors"/>
    <x v="0"/>
    <s v="Yes"/>
    <n v="0"/>
    <s v="2-5 Miles"/>
    <x v="2"/>
    <n v="37"/>
    <s v="Yes"/>
  </r>
  <r>
    <n v="12882"/>
    <x v="0"/>
    <x v="1"/>
    <n v="50000"/>
    <n v="1"/>
    <s v="Graduate Degree"/>
    <x v="0"/>
    <s v="Yes"/>
    <n v="0"/>
    <s v="0-1 Miles"/>
    <x v="2"/>
    <n v="33"/>
    <s v="Yes"/>
  </r>
  <r>
    <n v="25908"/>
    <x v="0"/>
    <x v="0"/>
    <n v="60000"/>
    <n v="0"/>
    <s v="Partial College"/>
    <x v="0"/>
    <s v="No"/>
    <n v="1"/>
    <s v="1-2 Miles"/>
    <x v="2"/>
    <n v="27"/>
    <s v="No"/>
  </r>
  <r>
    <n v="16753"/>
    <x v="1"/>
    <x v="0"/>
    <n v="70000"/>
    <n v="0"/>
    <s v="Partial College"/>
    <x v="0"/>
    <s v="Yes"/>
    <n v="2"/>
    <s v="5-10 Miles"/>
    <x v="2"/>
    <n v="34"/>
    <s v="Yes"/>
  </r>
  <r>
    <n v="14608"/>
    <x v="0"/>
    <x v="1"/>
    <n v="50000"/>
    <n v="4"/>
    <s v="Bachelors"/>
    <x v="0"/>
    <s v="Yes"/>
    <n v="3"/>
    <s v="10+ Miles"/>
    <x v="2"/>
    <n v="42"/>
    <s v="No"/>
  </r>
  <r>
    <n v="24979"/>
    <x v="0"/>
    <x v="0"/>
    <n v="60000"/>
    <n v="2"/>
    <s v="Partial College"/>
    <x v="2"/>
    <s v="Yes"/>
    <n v="2"/>
    <s v="2-5 Miles"/>
    <x v="2"/>
    <n v="57"/>
    <s v="Yes"/>
  </r>
  <r>
    <n v="13313"/>
    <x v="0"/>
    <x v="0"/>
    <n v="120000"/>
    <n v="1"/>
    <s v="High School"/>
    <x v="2"/>
    <s v="No"/>
    <n v="4"/>
    <s v="2-5 Miles"/>
    <x v="2"/>
    <n v="45"/>
    <s v="No"/>
  </r>
  <r>
    <n v="18952"/>
    <x v="0"/>
    <x v="0"/>
    <n v="100000"/>
    <n v="4"/>
    <s v="Bachelors"/>
    <x v="4"/>
    <s v="Yes"/>
    <n v="4"/>
    <s v="0-1 Miles"/>
    <x v="2"/>
    <n v="40"/>
    <s v="No"/>
  </r>
  <r>
    <n v="17699"/>
    <x v="0"/>
    <x v="1"/>
    <n v="60000"/>
    <n v="1"/>
    <s v="Graduate Degree"/>
    <x v="0"/>
    <s v="No"/>
    <n v="0"/>
    <s v="0-1 Miles"/>
    <x v="2"/>
    <n v="55"/>
    <s v="No"/>
  </r>
  <r>
    <n v="14657"/>
    <x v="0"/>
    <x v="1"/>
    <n v="80000"/>
    <n v="1"/>
    <s v="Partial College"/>
    <x v="0"/>
    <s v="No"/>
    <n v="1"/>
    <s v="0-1 Miles"/>
    <x v="2"/>
    <n v="47"/>
    <s v="Yes"/>
  </r>
  <r>
    <n v="11540"/>
    <x v="1"/>
    <x v="1"/>
    <n v="60000"/>
    <n v="4"/>
    <s v="Graduate Degree"/>
    <x v="0"/>
    <s v="Yes"/>
    <n v="0"/>
    <s v="1-2 Miles"/>
    <x v="2"/>
    <n v="47"/>
    <s v="Yes"/>
  </r>
  <r>
    <n v="11783"/>
    <x v="0"/>
    <x v="0"/>
    <n v="60000"/>
    <n v="1"/>
    <s v="Graduate Degree"/>
    <x v="0"/>
    <s v="Yes"/>
    <n v="0"/>
    <s v="0-1 Miles"/>
    <x v="2"/>
    <n v="34"/>
    <s v="No"/>
  </r>
  <r>
    <n v="14602"/>
    <x v="0"/>
    <x v="0"/>
    <n v="80000"/>
    <n v="3"/>
    <s v="Graduate Degree"/>
    <x v="2"/>
    <s v="Yes"/>
    <n v="0"/>
    <s v="0-1 Miles"/>
    <x v="2"/>
    <n v="36"/>
    <s v="Yes"/>
  </r>
  <r>
    <n v="29030"/>
    <x v="0"/>
    <x v="1"/>
    <n v="70000"/>
    <n v="2"/>
    <s v="Partial High School"/>
    <x v="0"/>
    <s v="Yes"/>
    <n v="2"/>
    <s v="10+ Miles"/>
    <x v="2"/>
    <n v="54"/>
    <s v="No"/>
  </r>
  <r>
    <n v="26490"/>
    <x v="1"/>
    <x v="1"/>
    <n v="70000"/>
    <n v="2"/>
    <s v="Bachelors"/>
    <x v="4"/>
    <s v="No"/>
    <n v="1"/>
    <s v="2-5 Miles"/>
    <x v="2"/>
    <n v="59"/>
    <s v="Yes"/>
  </r>
  <r>
    <n v="13151"/>
    <x v="1"/>
    <x v="1"/>
    <n v="40000"/>
    <n v="0"/>
    <s v="High School"/>
    <x v="0"/>
    <s v="Yes"/>
    <n v="2"/>
    <s v="5-10 Miles"/>
    <x v="2"/>
    <n v="27"/>
    <s v="No"/>
  </r>
  <r>
    <n v="17260"/>
    <x v="0"/>
    <x v="1"/>
    <n v="90000"/>
    <n v="5"/>
    <s v="Partial College"/>
    <x v="2"/>
    <s v="Yes"/>
    <n v="3"/>
    <s v="0-1 Miles"/>
    <x v="2"/>
    <n v="41"/>
    <s v="No"/>
  </r>
  <r>
    <n v="15372"/>
    <x v="0"/>
    <x v="1"/>
    <n v="80000"/>
    <n v="3"/>
    <s v="Partial College"/>
    <x v="2"/>
    <s v="No"/>
    <n v="2"/>
    <s v="2-5 Miles"/>
    <x v="2"/>
    <n v="50"/>
    <s v="Yes"/>
  </r>
  <r>
    <n v="18105"/>
    <x v="0"/>
    <x v="0"/>
    <n v="60000"/>
    <n v="2"/>
    <s v="Partial College"/>
    <x v="2"/>
    <s v="Yes"/>
    <n v="1"/>
    <s v="10+ Miles"/>
    <x v="2"/>
    <n v="55"/>
    <s v="No"/>
  </r>
  <r>
    <n v="19660"/>
    <x v="0"/>
    <x v="1"/>
    <n v="80000"/>
    <n v="4"/>
    <s v="Bachelors"/>
    <x v="4"/>
    <s v="Yes"/>
    <n v="0"/>
    <s v="0-1 Miles"/>
    <x v="2"/>
    <n v="43"/>
    <s v="No"/>
  </r>
  <r>
    <n v="16112"/>
    <x v="1"/>
    <x v="1"/>
    <n v="70000"/>
    <n v="4"/>
    <s v="Bachelors"/>
    <x v="2"/>
    <s v="Yes"/>
    <n v="2"/>
    <s v="2-5 Miles"/>
    <x v="2"/>
    <n v="43"/>
    <s v="Yes"/>
  </r>
  <r>
    <n v="20698"/>
    <x v="0"/>
    <x v="1"/>
    <n v="60000"/>
    <n v="4"/>
    <s v="Bachelors"/>
    <x v="0"/>
    <s v="Yes"/>
    <n v="3"/>
    <s v="5-10 Miles"/>
    <x v="2"/>
    <n v="42"/>
    <s v="No"/>
  </r>
  <r>
    <n v="20076"/>
    <x v="1"/>
    <x v="0"/>
    <n v="10000"/>
    <n v="2"/>
    <s v="High School"/>
    <x v="3"/>
    <s v="Yes"/>
    <n v="2"/>
    <s v="1-2 Miles"/>
    <x v="2"/>
    <n v="53"/>
    <s v="Yes"/>
  </r>
  <r>
    <n v="24496"/>
    <x v="1"/>
    <x v="0"/>
    <n v="40000"/>
    <n v="0"/>
    <s v="High School"/>
    <x v="0"/>
    <s v="No"/>
    <n v="2"/>
    <s v="0-1 Miles"/>
    <x v="2"/>
    <n v="28"/>
    <s v="Yes"/>
  </r>
  <r>
    <n v="15468"/>
    <x v="0"/>
    <x v="0"/>
    <n v="50000"/>
    <n v="1"/>
    <s v="Bachelors"/>
    <x v="0"/>
    <s v="Yes"/>
    <n v="1"/>
    <s v="0-1 Miles"/>
    <x v="2"/>
    <n v="35"/>
    <s v="No"/>
  </r>
  <r>
    <n v="28031"/>
    <x v="1"/>
    <x v="0"/>
    <n v="70000"/>
    <n v="2"/>
    <s v="Bachelors"/>
    <x v="4"/>
    <s v="No"/>
    <n v="1"/>
    <s v="2-5 Miles"/>
    <x v="2"/>
    <n v="59"/>
    <s v="Yes"/>
  </r>
  <r>
    <n v="26270"/>
    <x v="1"/>
    <x v="0"/>
    <n v="20000"/>
    <n v="2"/>
    <s v="Partial High School"/>
    <x v="1"/>
    <s v="Yes"/>
    <n v="2"/>
    <s v="1-2 Miles"/>
    <x v="2"/>
    <n v="49"/>
    <s v="No"/>
  </r>
  <r>
    <n v="22221"/>
    <x v="0"/>
    <x v="1"/>
    <n v="60000"/>
    <n v="2"/>
    <s v="High School"/>
    <x v="2"/>
    <s v="No"/>
    <n v="2"/>
    <s v="1-2 Miles"/>
    <x v="2"/>
    <n v="48"/>
    <s v="Yes"/>
  </r>
  <r>
    <n v="28228"/>
    <x v="1"/>
    <x v="0"/>
    <n v="80000"/>
    <n v="2"/>
    <s v="Partial High School"/>
    <x v="0"/>
    <s v="No"/>
    <n v="2"/>
    <s v="1-2 Miles"/>
    <x v="2"/>
    <n v="50"/>
    <s v="No"/>
  </r>
  <r>
    <n v="18363"/>
    <x v="0"/>
    <x v="1"/>
    <n v="40000"/>
    <n v="0"/>
    <s v="High School"/>
    <x v="0"/>
    <s v="Yes"/>
    <n v="2"/>
    <s v="5-10 Miles"/>
    <x v="2"/>
    <n v="28"/>
    <s v="Yes"/>
  </r>
  <r>
    <n v="23256"/>
    <x v="1"/>
    <x v="1"/>
    <n v="30000"/>
    <n v="1"/>
    <s v="High School"/>
    <x v="1"/>
    <s v="No"/>
    <n v="1"/>
    <s v="5-10 Miles"/>
    <x v="2"/>
    <n v="52"/>
    <s v="No"/>
  </r>
  <r>
    <n v="12768"/>
    <x v="0"/>
    <x v="1"/>
    <n v="30000"/>
    <n v="1"/>
    <s v="High School"/>
    <x v="1"/>
    <s v="Yes"/>
    <n v="1"/>
    <s v="2-5 Miles"/>
    <x v="2"/>
    <n v="52"/>
    <s v="Yes"/>
  </r>
  <r>
    <n v="20361"/>
    <x v="0"/>
    <x v="1"/>
    <n v="50000"/>
    <n v="2"/>
    <s v="Graduate Degree"/>
    <x v="4"/>
    <s v="Yes"/>
    <n v="2"/>
    <s v="5-10 Miles"/>
    <x v="2"/>
    <n v="69"/>
    <s v="No"/>
  </r>
  <r>
    <n v="21306"/>
    <x v="1"/>
    <x v="1"/>
    <n v="60000"/>
    <n v="2"/>
    <s v="High School"/>
    <x v="2"/>
    <s v="Yes"/>
    <n v="2"/>
    <s v="5-10 Miles"/>
    <x v="2"/>
    <n v="51"/>
    <s v="No"/>
  </r>
  <r>
    <n v="13382"/>
    <x v="0"/>
    <x v="1"/>
    <n v="70000"/>
    <n v="5"/>
    <s v="Partial College"/>
    <x v="2"/>
    <s v="Yes"/>
    <n v="2"/>
    <s v="1-2 Miles"/>
    <x v="2"/>
    <n v="57"/>
    <s v="Yes"/>
  </r>
  <r>
    <n v="20310"/>
    <x v="1"/>
    <x v="1"/>
    <n v="60000"/>
    <n v="0"/>
    <s v="Partial College"/>
    <x v="0"/>
    <s v="Yes"/>
    <n v="1"/>
    <s v="5-10 Miles"/>
    <x v="2"/>
    <n v="27"/>
    <s v="Yes"/>
  </r>
  <r>
    <n v="22971"/>
    <x v="1"/>
    <x v="0"/>
    <n v="30000"/>
    <n v="0"/>
    <s v="High School"/>
    <x v="0"/>
    <s v="No"/>
    <n v="2"/>
    <s v="0-1 Miles"/>
    <x v="2"/>
    <n v="25"/>
    <s v="Yes"/>
  </r>
  <r>
    <n v="15287"/>
    <x v="1"/>
    <x v="0"/>
    <n v="50000"/>
    <n v="1"/>
    <s v="Graduate Degree"/>
    <x v="0"/>
    <s v="Yes"/>
    <n v="0"/>
    <s v="1-2 Miles"/>
    <x v="2"/>
    <n v="33"/>
    <s v="Yes"/>
  </r>
  <r>
    <n v="15532"/>
    <x v="1"/>
    <x v="1"/>
    <n v="60000"/>
    <n v="4"/>
    <s v="Bachelors"/>
    <x v="2"/>
    <s v="Yes"/>
    <n v="2"/>
    <s v="2-5 Miles"/>
    <x v="2"/>
    <n v="43"/>
    <s v="Yes"/>
  </r>
  <r>
    <n v="11255"/>
    <x v="0"/>
    <x v="1"/>
    <n v="70000"/>
    <n v="4"/>
    <s v="Graduate Degree"/>
    <x v="4"/>
    <s v="Yes"/>
    <n v="2"/>
    <s v="5-10 Miles"/>
    <x v="2"/>
    <n v="73"/>
    <s v="No"/>
  </r>
  <r>
    <n v="28090"/>
    <x v="0"/>
    <x v="1"/>
    <n v="40000"/>
    <n v="0"/>
    <s v="Partial College"/>
    <x v="0"/>
    <s v="Yes"/>
    <n v="1"/>
    <s v="5-10 Miles"/>
    <x v="2"/>
    <n v="27"/>
    <s v="No"/>
  </r>
  <r>
    <n v="15255"/>
    <x v="0"/>
    <x v="1"/>
    <n v="40000"/>
    <n v="0"/>
    <s v="High School"/>
    <x v="0"/>
    <s v="Yes"/>
    <n v="2"/>
    <s v="5-10 Miles"/>
    <x v="2"/>
    <n v="28"/>
    <s v="Yes"/>
  </r>
  <r>
    <n v="13154"/>
    <x v="0"/>
    <x v="1"/>
    <n v="40000"/>
    <n v="0"/>
    <s v="High School"/>
    <x v="0"/>
    <s v="No"/>
    <n v="2"/>
    <s v="0-1 Miles"/>
    <x v="2"/>
    <n v="27"/>
    <s v="Yes"/>
  </r>
  <r>
    <n v="26778"/>
    <x v="1"/>
    <x v="0"/>
    <n v="40000"/>
    <n v="0"/>
    <s v="High School"/>
    <x v="0"/>
    <s v="Yes"/>
    <n v="2"/>
    <s v="5-10 Miles"/>
    <x v="2"/>
    <n v="31"/>
    <s v="No"/>
  </r>
  <r>
    <n v="23248"/>
    <x v="0"/>
    <x v="0"/>
    <n v="10000"/>
    <n v="2"/>
    <s v="High School"/>
    <x v="3"/>
    <s v="Yes"/>
    <n v="2"/>
    <s v="1-2 Miles"/>
    <x v="2"/>
    <n v="53"/>
    <s v="No"/>
  </r>
  <r>
    <n v="21417"/>
    <x v="1"/>
    <x v="0"/>
    <n v="60000"/>
    <n v="0"/>
    <s v="Partial College"/>
    <x v="2"/>
    <s v="No"/>
    <n v="2"/>
    <s v="1-2 Miles"/>
    <x v="2"/>
    <n v="32"/>
    <s v="Yes"/>
  </r>
  <r>
    <n v="17668"/>
    <x v="1"/>
    <x v="1"/>
    <n v="30000"/>
    <n v="2"/>
    <s v="High School"/>
    <x v="0"/>
    <s v="Yes"/>
    <n v="2"/>
    <s v="1-2 Miles"/>
    <x v="2"/>
    <n v="50"/>
    <s v="Yes"/>
  </r>
  <r>
    <n v="27994"/>
    <x v="0"/>
    <x v="0"/>
    <n v="40000"/>
    <n v="4"/>
    <s v="High School"/>
    <x v="2"/>
    <s v="Yes"/>
    <n v="2"/>
    <s v="5-10 Miles"/>
    <x v="2"/>
    <n v="69"/>
    <s v="No"/>
  </r>
  <r>
    <n v="20376"/>
    <x v="1"/>
    <x v="0"/>
    <n v="70000"/>
    <n v="3"/>
    <s v="Graduate Degree"/>
    <x v="4"/>
    <s v="Yes"/>
    <n v="2"/>
    <s v="5-10 Miles"/>
    <x v="2"/>
    <n v="52"/>
    <s v="Yes"/>
  </r>
  <r>
    <n v="25954"/>
    <x v="0"/>
    <x v="1"/>
    <n v="60000"/>
    <n v="0"/>
    <s v="Partial College"/>
    <x v="0"/>
    <s v="No"/>
    <n v="2"/>
    <s v="1-2 Miles"/>
    <x v="2"/>
    <n v="31"/>
    <s v="No"/>
  </r>
  <r>
    <n v="15749"/>
    <x v="1"/>
    <x v="0"/>
    <n v="70000"/>
    <n v="4"/>
    <s v="Bachelors"/>
    <x v="4"/>
    <s v="Yes"/>
    <n v="2"/>
    <s v="10+ Miles"/>
    <x v="2"/>
    <n v="61"/>
    <s v="No"/>
  </r>
  <r>
    <n v="25899"/>
    <x v="0"/>
    <x v="0"/>
    <n v="70000"/>
    <n v="2"/>
    <s v="High School"/>
    <x v="2"/>
    <s v="Yes"/>
    <n v="2"/>
    <s v="10+ Miles"/>
    <x v="2"/>
    <n v="53"/>
    <s v="No"/>
  </r>
  <r>
    <n v="13351"/>
    <x v="1"/>
    <x v="0"/>
    <n v="70000"/>
    <n v="4"/>
    <s v="Bachelors"/>
    <x v="4"/>
    <s v="Yes"/>
    <n v="2"/>
    <s v="1-2 Miles"/>
    <x v="2"/>
    <n v="62"/>
    <s v="Yes"/>
  </r>
  <r>
    <n v="23333"/>
    <x v="0"/>
    <x v="1"/>
    <n v="40000"/>
    <n v="0"/>
    <s v="Partial College"/>
    <x v="0"/>
    <s v="No"/>
    <n v="2"/>
    <s v="1-2 Miles"/>
    <x v="2"/>
    <n v="30"/>
    <s v="No"/>
  </r>
  <r>
    <n v="21660"/>
    <x v="0"/>
    <x v="0"/>
    <n v="60000"/>
    <n v="3"/>
    <s v="Graduate Degree"/>
    <x v="2"/>
    <s v="Yes"/>
    <n v="0"/>
    <s v="2-5 Miles"/>
    <x v="2"/>
    <n v="43"/>
    <s v="Yes"/>
  </r>
  <r>
    <n v="17012"/>
    <x v="0"/>
    <x v="0"/>
    <n v="60000"/>
    <n v="3"/>
    <s v="Graduate Degree"/>
    <x v="2"/>
    <s v="Yes"/>
    <n v="0"/>
    <s v="2-5 Miles"/>
    <x v="2"/>
    <n v="42"/>
    <s v="Yes"/>
  </r>
  <r>
    <n v="24514"/>
    <x v="0"/>
    <x v="1"/>
    <n v="40000"/>
    <n v="0"/>
    <s v="Partial College"/>
    <x v="0"/>
    <s v="Yes"/>
    <n v="1"/>
    <s v="5-10 Miles"/>
    <x v="2"/>
    <n v="30"/>
    <s v="No"/>
  </r>
  <r>
    <n v="27505"/>
    <x v="1"/>
    <x v="0"/>
    <n v="40000"/>
    <n v="0"/>
    <s v="High School"/>
    <x v="0"/>
    <s v="Yes"/>
    <n v="2"/>
    <s v="5-10 Miles"/>
    <x v="2"/>
    <n v="30"/>
    <s v="No"/>
  </r>
  <r>
    <n v="29243"/>
    <x v="1"/>
    <x v="1"/>
    <n v="110000"/>
    <n v="1"/>
    <s v="Bachelors"/>
    <x v="4"/>
    <s v="Yes"/>
    <n v="1"/>
    <s v="5-10 Miles"/>
    <x v="2"/>
    <n v="43"/>
    <s v="No"/>
  </r>
  <r>
    <n v="26582"/>
    <x v="0"/>
    <x v="1"/>
    <n v="60000"/>
    <n v="0"/>
    <s v="Partial College"/>
    <x v="0"/>
    <s v="Yes"/>
    <n v="2"/>
    <s v="5-10 Miles"/>
    <x v="2"/>
    <n v="33"/>
    <s v="Yes"/>
  </r>
  <r>
    <n v="14271"/>
    <x v="0"/>
    <x v="1"/>
    <n v="30000"/>
    <n v="0"/>
    <s v="High School"/>
    <x v="0"/>
    <s v="Yes"/>
    <n v="2"/>
    <s v="5-10 Miles"/>
    <x v="2"/>
    <n v="32"/>
    <s v="No"/>
  </r>
  <r>
    <n v="23041"/>
    <x v="1"/>
    <x v="0"/>
    <n v="70000"/>
    <n v="4"/>
    <s v="High School"/>
    <x v="2"/>
    <s v="Yes"/>
    <n v="0"/>
    <s v="5-10 Miles"/>
    <x v="2"/>
    <n v="50"/>
    <s v="Yes"/>
  </r>
  <r>
    <n v="29048"/>
    <x v="1"/>
    <x v="1"/>
    <n v="110000"/>
    <n v="2"/>
    <s v="Bachelors"/>
    <x v="4"/>
    <s v="No"/>
    <n v="3"/>
    <s v="0-1 Miles"/>
    <x v="2"/>
    <n v="37"/>
    <s v="Yes"/>
  </r>
  <r>
    <n v="24433"/>
    <x v="0"/>
    <x v="1"/>
    <n v="70000"/>
    <n v="3"/>
    <s v="High School"/>
    <x v="2"/>
    <s v="No"/>
    <n v="1"/>
    <s v="1-2 Miles"/>
    <x v="2"/>
    <n v="52"/>
    <s v="Yes"/>
  </r>
  <r>
    <n v="15501"/>
    <x v="0"/>
    <x v="1"/>
    <n v="70000"/>
    <n v="4"/>
    <s v="Graduate Degree"/>
    <x v="2"/>
    <s v="Yes"/>
    <n v="0"/>
    <s v="2-5 Miles"/>
    <x v="2"/>
    <n v="36"/>
    <s v="Yes"/>
  </r>
  <r>
    <n v="13911"/>
    <x v="1"/>
    <x v="0"/>
    <n v="80000"/>
    <n v="3"/>
    <s v="Bachelors"/>
    <x v="0"/>
    <s v="Yes"/>
    <n v="2"/>
    <s v="2-5 Miles"/>
    <x v="2"/>
    <n v="41"/>
    <s v="Yes"/>
  </r>
  <r>
    <n v="20421"/>
    <x v="1"/>
    <x v="0"/>
    <n v="40000"/>
    <n v="0"/>
    <s v="Partial High School"/>
    <x v="1"/>
    <s v="Yes"/>
    <n v="2"/>
    <s v="5-10 Miles"/>
    <x v="2"/>
    <n v="26"/>
    <s v="No"/>
  </r>
  <r>
    <n v="16009"/>
    <x v="1"/>
    <x v="1"/>
    <n v="170000"/>
    <n v="1"/>
    <s v="Graduate Degree"/>
    <x v="4"/>
    <s v="No"/>
    <n v="4"/>
    <s v="0-1 Miles"/>
    <x v="2"/>
    <n v="66"/>
    <s v="No"/>
  </r>
  <r>
    <n v="18411"/>
    <x v="0"/>
    <x v="1"/>
    <n v="60000"/>
    <n v="2"/>
    <s v="High School"/>
    <x v="2"/>
    <s v="No"/>
    <n v="2"/>
    <s v="5-10 Miles"/>
    <x v="2"/>
    <n v="51"/>
    <s v="No"/>
  </r>
  <r>
    <n v="19163"/>
    <x v="0"/>
    <x v="0"/>
    <n v="70000"/>
    <n v="4"/>
    <s v="Bachelors"/>
    <x v="2"/>
    <s v="Yes"/>
    <n v="2"/>
    <s v="0-1 Miles"/>
    <x v="2"/>
    <n v="43"/>
    <s v="Yes"/>
  </r>
  <r>
    <n v="18572"/>
    <x v="0"/>
    <x v="0"/>
    <n v="60000"/>
    <n v="0"/>
    <s v="Graduate Degree"/>
    <x v="2"/>
    <s v="Yes"/>
    <n v="0"/>
    <s v="0-1 Miles"/>
    <x v="2"/>
    <n v="39"/>
    <s v="No"/>
  </r>
  <r>
    <n v="27540"/>
    <x v="1"/>
    <x v="0"/>
    <n v="70000"/>
    <n v="0"/>
    <s v="Bachelors"/>
    <x v="2"/>
    <s v="No"/>
    <n v="1"/>
    <s v="0-1 Miles"/>
    <x v="2"/>
    <n v="37"/>
    <s v="Yes"/>
  </r>
  <r>
    <n v="19889"/>
    <x v="1"/>
    <x v="0"/>
    <n v="70000"/>
    <n v="2"/>
    <s v="Partial High School"/>
    <x v="0"/>
    <s v="No"/>
    <n v="2"/>
    <s v="2-5 Miles"/>
    <x v="2"/>
    <n v="54"/>
    <s v="Yes"/>
  </r>
  <r>
    <n v="12922"/>
    <x v="1"/>
    <x v="0"/>
    <n v="60000"/>
    <n v="3"/>
    <s v="Bachelors"/>
    <x v="0"/>
    <s v="Yes"/>
    <n v="0"/>
    <s v="2-5 Miles"/>
    <x v="2"/>
    <n v="40"/>
    <s v="Yes"/>
  </r>
  <r>
    <n v="18891"/>
    <x v="0"/>
    <x v="0"/>
    <n v="40000"/>
    <n v="0"/>
    <s v="Partial College"/>
    <x v="0"/>
    <s v="Yes"/>
    <n v="2"/>
    <s v="5-10 Miles"/>
    <x v="2"/>
    <n v="28"/>
    <s v="No"/>
  </r>
  <r>
    <n v="16773"/>
    <x v="0"/>
    <x v="1"/>
    <n v="60000"/>
    <n v="1"/>
    <s v="Graduate Degree"/>
    <x v="0"/>
    <s v="Yes"/>
    <n v="0"/>
    <s v="0-1 Miles"/>
    <x v="2"/>
    <n v="33"/>
    <s v="No"/>
  </r>
  <r>
    <n v="19143"/>
    <x v="1"/>
    <x v="0"/>
    <n v="80000"/>
    <n v="3"/>
    <s v="Bachelors"/>
    <x v="0"/>
    <s v="Yes"/>
    <n v="2"/>
    <s v="2-5 Miles"/>
    <x v="2"/>
    <n v="41"/>
    <s v="Yes"/>
  </r>
  <r>
    <n v="23882"/>
    <x v="1"/>
    <x v="0"/>
    <n v="80000"/>
    <n v="3"/>
    <s v="Graduate Degree"/>
    <x v="2"/>
    <s v="Yes"/>
    <n v="0"/>
    <s v="0-1 Miles"/>
    <x v="2"/>
    <n v="37"/>
    <s v="Yes"/>
  </r>
  <r>
    <n v="11233"/>
    <x v="0"/>
    <x v="1"/>
    <n v="70000"/>
    <n v="4"/>
    <s v="Partial College"/>
    <x v="2"/>
    <s v="Yes"/>
    <n v="2"/>
    <s v="10+ Miles"/>
    <x v="2"/>
    <n v="53"/>
    <s v="No"/>
  </r>
  <r>
    <n v="12056"/>
    <x v="0"/>
    <x v="1"/>
    <n v="120000"/>
    <n v="2"/>
    <s v="Graduate Degree"/>
    <x v="4"/>
    <s v="Yes"/>
    <n v="3"/>
    <s v="5-10 Miles"/>
    <x v="2"/>
    <n v="64"/>
    <s v="No"/>
  </r>
  <r>
    <n v="15555"/>
    <x v="0"/>
    <x v="0"/>
    <n v="60000"/>
    <n v="1"/>
    <s v="Partial College"/>
    <x v="0"/>
    <s v="Yes"/>
    <n v="1"/>
    <s v="2-5 Miles"/>
    <x v="2"/>
    <n v="45"/>
    <s v="Yes"/>
  </r>
  <r>
    <n v="18423"/>
    <x v="1"/>
    <x v="1"/>
    <n v="80000"/>
    <n v="2"/>
    <s v="Partial High School"/>
    <x v="0"/>
    <s v="No"/>
    <n v="2"/>
    <s v="1-2 Miles"/>
    <x v="2"/>
    <n v="52"/>
    <s v="No"/>
  </r>
  <r>
    <n v="22743"/>
    <x v="0"/>
    <x v="0"/>
    <n v="40000"/>
    <n v="5"/>
    <s v="High School"/>
    <x v="2"/>
    <s v="Yes"/>
    <n v="2"/>
    <s v="10+ Miles"/>
    <x v="2"/>
    <n v="60"/>
    <s v="No"/>
  </r>
  <r>
    <n v="25343"/>
    <x v="1"/>
    <x v="0"/>
    <n v="20000"/>
    <n v="3"/>
    <s v="Partial High School"/>
    <x v="1"/>
    <s v="Yes"/>
    <n v="2"/>
    <s v="1-2 Miles"/>
    <x v="2"/>
    <n v="50"/>
    <s v="No"/>
  </r>
  <r>
    <n v="13390"/>
    <x v="0"/>
    <x v="0"/>
    <n v="70000"/>
    <n v="4"/>
    <s v="Partial College"/>
    <x v="2"/>
    <s v="No"/>
    <n v="1"/>
    <s v="1-2 Miles"/>
    <x v="2"/>
    <n v="56"/>
    <s v="No"/>
  </r>
  <r>
    <n v="17482"/>
    <x v="1"/>
    <x v="0"/>
    <n v="40000"/>
    <n v="0"/>
    <s v="Partial High School"/>
    <x v="1"/>
    <s v="Yes"/>
    <n v="2"/>
    <s v="5-10 Miles"/>
    <x v="2"/>
    <n v="29"/>
    <s v="No"/>
  </r>
  <r>
    <n v="13176"/>
    <x v="1"/>
    <x v="1"/>
    <n v="130000"/>
    <n v="0"/>
    <s v="Graduate Degree"/>
    <x v="4"/>
    <s v="No"/>
    <n v="2"/>
    <s v="0-1 Miles"/>
    <x v="2"/>
    <n v="38"/>
    <s v="Yes"/>
  </r>
  <r>
    <n v="20504"/>
    <x v="0"/>
    <x v="0"/>
    <n v="40000"/>
    <n v="5"/>
    <s v="High School"/>
    <x v="2"/>
    <s v="No"/>
    <n v="2"/>
    <s v="2-5 Miles"/>
    <x v="2"/>
    <n v="60"/>
    <s v="No"/>
  </r>
  <r>
    <n v="12205"/>
    <x v="1"/>
    <x v="0"/>
    <n v="130000"/>
    <n v="2"/>
    <s v="Bachelors"/>
    <x v="4"/>
    <s v="No"/>
    <n v="4"/>
    <s v="0-1 Miles"/>
    <x v="2"/>
    <n v="67"/>
    <s v="No"/>
  </r>
  <r>
    <n v="16751"/>
    <x v="0"/>
    <x v="1"/>
    <n v="60000"/>
    <n v="0"/>
    <s v="Partial College"/>
    <x v="0"/>
    <s v="Yes"/>
    <n v="1"/>
    <s v="5-10 Miles"/>
    <x v="2"/>
    <n v="32"/>
    <s v="Yes"/>
  </r>
  <r>
    <n v="21613"/>
    <x v="1"/>
    <x v="1"/>
    <n v="50000"/>
    <n v="2"/>
    <s v="Bachelors"/>
    <x v="0"/>
    <s v="No"/>
    <n v="1"/>
    <s v="0-1 Miles"/>
    <x v="2"/>
    <n v="39"/>
    <s v="Yes"/>
  </r>
  <r>
    <n v="24801"/>
    <x v="1"/>
    <x v="1"/>
    <n v="60000"/>
    <n v="1"/>
    <s v="Graduate Degree"/>
    <x v="2"/>
    <s v="Yes"/>
    <n v="0"/>
    <s v="2-5 Miles"/>
    <x v="2"/>
    <n v="35"/>
    <s v="Yes"/>
  </r>
  <r>
    <n v="17519"/>
    <x v="0"/>
    <x v="0"/>
    <n v="60000"/>
    <n v="0"/>
    <s v="Partial College"/>
    <x v="2"/>
    <s v="Yes"/>
    <n v="2"/>
    <s v="5-10 Miles"/>
    <x v="2"/>
    <n v="32"/>
    <s v="No"/>
  </r>
  <r>
    <n v="18347"/>
    <x v="1"/>
    <x v="0"/>
    <n v="30000"/>
    <n v="0"/>
    <s v="Partial College"/>
    <x v="0"/>
    <s v="No"/>
    <n v="1"/>
    <s v="1-2 Miles"/>
    <x v="2"/>
    <n v="31"/>
    <s v="No"/>
  </r>
  <r>
    <n v="29052"/>
    <x v="1"/>
    <x v="1"/>
    <n v="40000"/>
    <n v="0"/>
    <s v="Partial College"/>
    <x v="0"/>
    <s v="Yes"/>
    <n v="1"/>
    <s v="5-10 Miles"/>
    <x v="2"/>
    <n v="27"/>
    <s v="No"/>
  </r>
  <r>
    <n v="11745"/>
    <x v="0"/>
    <x v="0"/>
    <n v="60000"/>
    <n v="1"/>
    <s v="Bachelors"/>
    <x v="2"/>
    <s v="Yes"/>
    <n v="1"/>
    <s v="0-1 Miles"/>
    <x v="2"/>
    <n v="47"/>
    <s v="Yes"/>
  </r>
  <r>
    <n v="19147"/>
    <x v="0"/>
    <x v="1"/>
    <n v="40000"/>
    <n v="0"/>
    <s v="Bachelors"/>
    <x v="2"/>
    <s v="No"/>
    <n v="1"/>
    <s v="0-1 Miles"/>
    <x v="2"/>
    <n v="42"/>
    <s v="No"/>
  </r>
  <r>
    <n v="19217"/>
    <x v="0"/>
    <x v="1"/>
    <n v="30000"/>
    <n v="2"/>
    <s v="High School"/>
    <x v="0"/>
    <s v="Yes"/>
    <n v="2"/>
    <s v="1-2 Miles"/>
    <x v="2"/>
    <n v="49"/>
    <s v="No"/>
  </r>
  <r>
    <n v="15839"/>
    <x v="1"/>
    <x v="1"/>
    <n v="30000"/>
    <n v="0"/>
    <s v="Partial College"/>
    <x v="0"/>
    <s v="Yes"/>
    <n v="1"/>
    <s v="5-10 Miles"/>
    <x v="2"/>
    <n v="32"/>
    <s v="No"/>
  </r>
  <r>
    <n v="13714"/>
    <x v="0"/>
    <x v="0"/>
    <n v="20000"/>
    <n v="2"/>
    <s v="High School"/>
    <x v="3"/>
    <s v="No"/>
    <n v="2"/>
    <s v="1-2 Miles"/>
    <x v="2"/>
    <n v="53"/>
    <s v="Yes"/>
  </r>
  <r>
    <n v="22330"/>
    <x v="0"/>
    <x v="1"/>
    <n v="50000"/>
    <n v="0"/>
    <s v="Graduate Degree"/>
    <x v="0"/>
    <s v="Yes"/>
    <n v="0"/>
    <s v="1-2 Miles"/>
    <x v="2"/>
    <n v="32"/>
    <s v="Yes"/>
  </r>
  <r>
    <n v="18783"/>
    <x v="1"/>
    <x v="1"/>
    <n v="80000"/>
    <n v="0"/>
    <s v="Bachelors"/>
    <x v="4"/>
    <s v="No"/>
    <n v="1"/>
    <s v="0-1 Miles"/>
    <x v="2"/>
    <n v="38"/>
    <s v="Yes"/>
  </r>
  <r>
    <n v="25041"/>
    <x v="1"/>
    <x v="1"/>
    <n v="40000"/>
    <n v="0"/>
    <s v="High School"/>
    <x v="0"/>
    <s v="Yes"/>
    <n v="2"/>
    <s v="5-10 Miles"/>
    <x v="2"/>
    <n v="31"/>
    <s v="No"/>
  </r>
  <r>
    <n v="22046"/>
    <x v="1"/>
    <x v="0"/>
    <n v="80000"/>
    <n v="0"/>
    <s v="Bachelors"/>
    <x v="4"/>
    <s v="No"/>
    <n v="1"/>
    <s v="0-1 Miles"/>
    <x v="2"/>
    <n v="38"/>
    <s v="Yes"/>
  </r>
  <r>
    <n v="28052"/>
    <x v="0"/>
    <x v="1"/>
    <n v="60000"/>
    <n v="2"/>
    <s v="High School"/>
    <x v="2"/>
    <s v="Yes"/>
    <n v="2"/>
    <s v="10+ Miles"/>
    <x v="2"/>
    <n v="55"/>
    <s v="No"/>
  </r>
  <r>
    <n v="26693"/>
    <x v="0"/>
    <x v="1"/>
    <n v="70000"/>
    <n v="3"/>
    <s v="Partial College"/>
    <x v="2"/>
    <s v="Yes"/>
    <n v="1"/>
    <s v="5-10 Miles"/>
    <x v="2"/>
    <n v="49"/>
    <s v="No"/>
  </r>
  <r>
    <n v="24955"/>
    <x v="1"/>
    <x v="1"/>
    <n v="30000"/>
    <n v="5"/>
    <s v="Partial High School"/>
    <x v="0"/>
    <s v="Yes"/>
    <n v="3"/>
    <s v="10+ Miles"/>
    <x v="2"/>
    <n v="60"/>
    <s v="Yes"/>
  </r>
  <r>
    <n v="26065"/>
    <x v="1"/>
    <x v="0"/>
    <n v="110000"/>
    <n v="3"/>
    <s v="Bachelors"/>
    <x v="4"/>
    <s v="No"/>
    <n v="4"/>
    <s v="1-2 Miles"/>
    <x v="2"/>
    <n v="42"/>
    <s v="No"/>
  </r>
  <r>
    <n v="13942"/>
    <x v="0"/>
    <x v="1"/>
    <n v="60000"/>
    <n v="1"/>
    <s v="Partial College"/>
    <x v="0"/>
    <s v="Yes"/>
    <n v="1"/>
    <s v="0-1 Miles"/>
    <x v="2"/>
    <n v="46"/>
    <s v="No"/>
  </r>
  <r>
    <n v="11219"/>
    <x v="0"/>
    <x v="1"/>
    <n v="60000"/>
    <n v="2"/>
    <s v="High School"/>
    <x v="2"/>
    <s v="Yes"/>
    <n v="2"/>
    <s v="10+ Miles"/>
    <x v="2"/>
    <n v="55"/>
    <s v="No"/>
  </r>
  <r>
    <n v="22118"/>
    <x v="1"/>
    <x v="0"/>
    <n v="70000"/>
    <n v="3"/>
    <s v="Graduate Degree"/>
    <x v="4"/>
    <s v="Yes"/>
    <n v="2"/>
    <s v="5-10 Miles"/>
    <x v="2"/>
    <n v="53"/>
    <s v="Yes"/>
  </r>
  <r>
    <n v="23197"/>
    <x v="0"/>
    <x v="1"/>
    <n v="50000"/>
    <n v="3"/>
    <s v="Bachelors"/>
    <x v="0"/>
    <s v="Yes"/>
    <n v="2"/>
    <s v="2-5 Miles"/>
    <x v="2"/>
    <n v="40"/>
    <s v="No"/>
  </r>
  <r>
    <n v="14883"/>
    <x v="0"/>
    <x v="0"/>
    <n v="30000"/>
    <n v="1"/>
    <s v="Bachelors"/>
    <x v="0"/>
    <s v="Yes"/>
    <n v="1"/>
    <s v="5-10 Miles"/>
    <x v="2"/>
    <n v="53"/>
    <s v="Yes"/>
  </r>
  <r>
    <n v="27279"/>
    <x v="1"/>
    <x v="0"/>
    <n v="70000"/>
    <n v="2"/>
    <s v="Bachelors"/>
    <x v="0"/>
    <s v="Yes"/>
    <n v="0"/>
    <s v="2-5 Miles"/>
    <x v="2"/>
    <n v="38"/>
    <s v="Yes"/>
  </r>
  <r>
    <n v="18322"/>
    <x v="1"/>
    <x v="1"/>
    <n v="30000"/>
    <n v="0"/>
    <s v="Partial High School"/>
    <x v="1"/>
    <s v="No"/>
    <n v="2"/>
    <s v="0-1 Miles"/>
    <x v="2"/>
    <n v="26"/>
    <s v="No"/>
  </r>
  <r>
    <n v="15879"/>
    <x v="0"/>
    <x v="1"/>
    <n v="70000"/>
    <n v="5"/>
    <s v="Bachelors"/>
    <x v="4"/>
    <s v="Yes"/>
    <n v="2"/>
    <s v="2-5 Miles"/>
    <x v="2"/>
    <n v="61"/>
    <s v="No"/>
  </r>
  <r>
    <n v="28278"/>
    <x v="0"/>
    <x v="1"/>
    <n v="50000"/>
    <n v="2"/>
    <s v="Graduate Degree"/>
    <x v="4"/>
    <s v="Yes"/>
    <n v="2"/>
    <s v="5-10 Miles"/>
    <x v="2"/>
    <n v="71"/>
    <s v="No"/>
  </r>
  <r>
    <n v="24416"/>
    <x v="0"/>
    <x v="1"/>
    <n v="90000"/>
    <n v="4"/>
    <s v="High School"/>
    <x v="2"/>
    <s v="Yes"/>
    <n v="2"/>
    <s v="1-2 Miles"/>
    <x v="2"/>
    <n v="45"/>
    <s v="No"/>
  </r>
  <r>
    <n v="28066"/>
    <x v="0"/>
    <x v="1"/>
    <n v="80000"/>
    <n v="2"/>
    <s v="Graduate Degree"/>
    <x v="2"/>
    <s v="Yes"/>
    <n v="0"/>
    <s v="0-1 Miles"/>
    <x v="2"/>
    <n v="37"/>
    <s v="Yes"/>
  </r>
  <r>
    <n v="11275"/>
    <x v="0"/>
    <x v="0"/>
    <n v="80000"/>
    <n v="4"/>
    <s v="Graduate Degree"/>
    <x v="4"/>
    <s v="Yes"/>
    <n v="2"/>
    <s v="0-1 Miles"/>
    <x v="2"/>
    <n v="72"/>
    <s v="Yes"/>
  </r>
  <r>
    <n v="14872"/>
    <x v="0"/>
    <x v="1"/>
    <n v="30000"/>
    <n v="0"/>
    <s v="Graduate Degree"/>
    <x v="0"/>
    <s v="Yes"/>
    <n v="0"/>
    <s v="0-1 Miles"/>
    <x v="2"/>
    <n v="32"/>
    <s v="No"/>
  </r>
  <r>
    <n v="16151"/>
    <x v="0"/>
    <x v="0"/>
    <n v="60000"/>
    <n v="1"/>
    <s v="Bachelors"/>
    <x v="2"/>
    <s v="Yes"/>
    <n v="1"/>
    <s v="2-5 Miles"/>
    <x v="2"/>
    <n v="48"/>
    <s v="Yes"/>
  </r>
  <r>
    <n v="19731"/>
    <x v="0"/>
    <x v="1"/>
    <n v="80000"/>
    <n v="4"/>
    <s v="Graduate Degree"/>
    <x v="4"/>
    <s v="Yes"/>
    <n v="2"/>
    <s v="5-10 Miles"/>
    <x v="2"/>
    <n v="68"/>
    <s v="No"/>
  </r>
  <r>
    <n v="23801"/>
    <x v="0"/>
    <x v="0"/>
    <n v="20000"/>
    <n v="2"/>
    <s v="Partial High School"/>
    <x v="1"/>
    <s v="Yes"/>
    <n v="2"/>
    <s v="0-1 Miles"/>
    <x v="2"/>
    <n v="49"/>
    <s v="No"/>
  </r>
  <r>
    <n v="11807"/>
    <x v="0"/>
    <x v="1"/>
    <n v="70000"/>
    <n v="3"/>
    <s v="Graduate Degree"/>
    <x v="2"/>
    <s v="Yes"/>
    <n v="0"/>
    <s v="2-5 Miles"/>
    <x v="2"/>
    <n v="34"/>
    <s v="No"/>
  </r>
  <r>
    <n v="11622"/>
    <x v="0"/>
    <x v="1"/>
    <n v="50000"/>
    <n v="0"/>
    <s v="Graduate Degree"/>
    <x v="0"/>
    <s v="Yes"/>
    <n v="0"/>
    <s v="0-1 Miles"/>
    <x v="2"/>
    <n v="32"/>
    <s v="No"/>
  </r>
  <r>
    <n v="26597"/>
    <x v="1"/>
    <x v="0"/>
    <n v="60000"/>
    <n v="4"/>
    <s v="Bachelors"/>
    <x v="0"/>
    <s v="No"/>
    <n v="2"/>
    <s v="0-1 Miles"/>
    <x v="2"/>
    <n v="42"/>
    <s v="No"/>
  </r>
  <r>
    <n v="27074"/>
    <x v="0"/>
    <x v="0"/>
    <n v="70000"/>
    <n v="1"/>
    <s v="Graduate Degree"/>
    <x v="0"/>
    <s v="Yes"/>
    <n v="0"/>
    <s v="0-1 Miles"/>
    <x v="2"/>
    <n v="35"/>
    <s v="Yes"/>
  </r>
  <r>
    <n v="19228"/>
    <x v="0"/>
    <x v="0"/>
    <n v="40000"/>
    <n v="2"/>
    <s v="Partial College"/>
    <x v="1"/>
    <s v="Yes"/>
    <n v="1"/>
    <s v="0-1 Miles"/>
    <x v="2"/>
    <n v="48"/>
    <s v="No"/>
  </r>
  <r>
    <n v="13415"/>
    <x v="1"/>
    <x v="1"/>
    <n v="100000"/>
    <n v="1"/>
    <s v="Graduate Degree"/>
    <x v="4"/>
    <s v="Yes"/>
    <n v="3"/>
    <s v="2-5 Miles"/>
    <x v="2"/>
    <n v="73"/>
    <s v="Yes"/>
  </r>
  <r>
    <n v="17000"/>
    <x v="1"/>
    <x v="0"/>
    <n v="70000"/>
    <n v="4"/>
    <s v="Bachelors"/>
    <x v="0"/>
    <s v="Yes"/>
    <n v="2"/>
    <s v="2-5 Miles"/>
    <x v="2"/>
    <n v="43"/>
    <s v="Yes"/>
  </r>
  <r>
    <n v="14569"/>
    <x v="0"/>
    <x v="1"/>
    <n v="60000"/>
    <n v="1"/>
    <s v="Graduate Degree"/>
    <x v="2"/>
    <s v="Yes"/>
    <n v="0"/>
    <s v="0-1 Miles"/>
    <x v="2"/>
    <n v="35"/>
    <s v="No"/>
  </r>
  <r>
    <n v="13873"/>
    <x v="0"/>
    <x v="1"/>
    <n v="70000"/>
    <n v="3"/>
    <s v="Graduate Degree"/>
    <x v="2"/>
    <s v="Yes"/>
    <n v="0"/>
    <s v="0-1 Miles"/>
    <x v="2"/>
    <n v="35"/>
    <s v="Yes"/>
  </r>
  <r>
    <n v="20401"/>
    <x v="0"/>
    <x v="0"/>
    <n v="50000"/>
    <n v="4"/>
    <s v="Bachelors"/>
    <x v="4"/>
    <s v="Yes"/>
    <n v="2"/>
    <s v="1-2 Miles"/>
    <x v="2"/>
    <n v="64"/>
    <s v="Yes"/>
  </r>
  <r>
    <n v="21583"/>
    <x v="0"/>
    <x v="0"/>
    <n v="50000"/>
    <n v="1"/>
    <s v="Bachelors"/>
    <x v="0"/>
    <s v="Yes"/>
    <n v="0"/>
    <s v="0-1 Miles"/>
    <x v="2"/>
    <n v="34"/>
    <s v="Yes"/>
  </r>
  <r>
    <n v="12029"/>
    <x v="0"/>
    <x v="1"/>
    <n v="30000"/>
    <n v="0"/>
    <s v="Partial High School"/>
    <x v="1"/>
    <s v="No"/>
    <n v="2"/>
    <s v="0-1 Miles"/>
    <x v="2"/>
    <n v="28"/>
    <s v="No"/>
  </r>
  <r>
    <n v="18066"/>
    <x v="1"/>
    <x v="1"/>
    <n v="70000"/>
    <n v="5"/>
    <s v="Bachelors"/>
    <x v="4"/>
    <s v="Yes"/>
    <n v="3"/>
    <s v="10+ Miles"/>
    <x v="2"/>
    <n v="60"/>
    <s v="Yes"/>
  </r>
  <r>
    <n v="28192"/>
    <x v="0"/>
    <x v="0"/>
    <n v="70000"/>
    <n v="5"/>
    <s v="Graduate Degree"/>
    <x v="2"/>
    <s v="Yes"/>
    <n v="3"/>
    <s v="10+ Miles"/>
    <x v="2"/>
    <n v="46"/>
    <s v="No"/>
  </r>
  <r>
    <n v="16122"/>
    <x v="0"/>
    <x v="1"/>
    <n v="40000"/>
    <n v="4"/>
    <s v="High School"/>
    <x v="0"/>
    <s v="Yes"/>
    <n v="2"/>
    <s v="0-1 Miles"/>
    <x v="2"/>
    <n v="44"/>
    <s v="Yes"/>
  </r>
  <r>
    <n v="18607"/>
    <x v="1"/>
    <x v="0"/>
    <n v="60000"/>
    <n v="4"/>
    <s v="Bachelors"/>
    <x v="0"/>
    <s v="Yes"/>
    <n v="2"/>
    <s v="2-5 Miles"/>
    <x v="2"/>
    <n v="42"/>
    <s v="Yes"/>
  </r>
  <r>
    <n v="28858"/>
    <x v="1"/>
    <x v="1"/>
    <n v="80000"/>
    <n v="3"/>
    <s v="Bachelors"/>
    <x v="0"/>
    <s v="Yes"/>
    <n v="0"/>
    <s v="2-5 Miles"/>
    <x v="2"/>
    <n v="40"/>
    <s v="No"/>
  </r>
  <r>
    <n v="14432"/>
    <x v="1"/>
    <x v="1"/>
    <n v="90000"/>
    <n v="4"/>
    <s v="Graduate Degree"/>
    <x v="4"/>
    <s v="Yes"/>
    <n v="1"/>
    <s v="5-10 Miles"/>
    <x v="2"/>
    <n v="73"/>
    <s v="No"/>
  </r>
  <r>
    <n v="26305"/>
    <x v="1"/>
    <x v="0"/>
    <n v="60000"/>
    <n v="2"/>
    <s v="Bachelors"/>
    <x v="0"/>
    <s v="No"/>
    <n v="0"/>
    <s v="0-1 Miles"/>
    <x v="2"/>
    <n v="36"/>
    <s v="Yes"/>
  </r>
  <r>
    <n v="22050"/>
    <x v="1"/>
    <x v="1"/>
    <n v="90000"/>
    <n v="4"/>
    <s v="Bachelors"/>
    <x v="4"/>
    <s v="Yes"/>
    <n v="1"/>
    <s v="1-2 Miles"/>
    <x v="2"/>
    <n v="38"/>
    <s v="Yes"/>
  </r>
  <r>
    <n v="25394"/>
    <x v="0"/>
    <x v="1"/>
    <n v="60000"/>
    <n v="1"/>
    <s v="Graduate Degree"/>
    <x v="2"/>
    <s v="Yes"/>
    <n v="0"/>
    <s v="2-5 Miles"/>
    <x v="2"/>
    <n v="34"/>
    <s v="Yes"/>
  </r>
  <r>
    <n v="19747"/>
    <x v="0"/>
    <x v="1"/>
    <n v="50000"/>
    <n v="4"/>
    <s v="Bachelors"/>
    <x v="4"/>
    <s v="Yes"/>
    <n v="2"/>
    <s v="10+ Miles"/>
    <x v="2"/>
    <n v="63"/>
    <s v="No"/>
  </r>
  <r>
    <n v="23195"/>
    <x v="1"/>
    <x v="1"/>
    <n v="50000"/>
    <n v="3"/>
    <s v="Bachelors"/>
    <x v="0"/>
    <s v="Yes"/>
    <n v="2"/>
    <s v="2-5 Miles"/>
    <x v="2"/>
    <n v="41"/>
    <s v="Yes"/>
  </r>
  <r>
    <n v="21695"/>
    <x v="0"/>
    <x v="1"/>
    <n v="60000"/>
    <n v="0"/>
    <s v="Graduate Degree"/>
    <x v="0"/>
    <s v="Yes"/>
    <n v="0"/>
    <s v="1-2 Miles"/>
    <x v="2"/>
    <n v="39"/>
    <s v="Yes"/>
  </r>
  <r>
    <n v="13934"/>
    <x v="0"/>
    <x v="1"/>
    <n v="40000"/>
    <n v="4"/>
    <s v="High School"/>
    <x v="0"/>
    <s v="Yes"/>
    <n v="2"/>
    <s v="2-5 Miles"/>
    <x v="2"/>
    <n v="46"/>
    <s v="No"/>
  </r>
  <r>
    <n v="13337"/>
    <x v="0"/>
    <x v="0"/>
    <n v="80000"/>
    <n v="5"/>
    <s v="Bachelors"/>
    <x v="4"/>
    <s v="Yes"/>
    <n v="2"/>
    <s v="5-10 Miles"/>
    <x v="2"/>
    <n v="64"/>
    <s v="No"/>
  </r>
  <r>
    <n v="27190"/>
    <x v="0"/>
    <x v="0"/>
    <n v="40000"/>
    <n v="3"/>
    <s v="Partial College"/>
    <x v="1"/>
    <s v="Yes"/>
    <n v="1"/>
    <s v="1-2 Miles"/>
    <x v="2"/>
    <n v="32"/>
    <s v="No"/>
  </r>
  <r>
    <n v="28657"/>
    <x v="1"/>
    <x v="1"/>
    <n v="60000"/>
    <n v="2"/>
    <s v="Bachelors"/>
    <x v="0"/>
    <s v="Yes"/>
    <n v="0"/>
    <s v="2-5 Miles"/>
    <x v="2"/>
    <n v="36"/>
    <s v="Yes"/>
  </r>
  <r>
    <n v="21713"/>
    <x v="1"/>
    <x v="1"/>
    <n v="80000"/>
    <n v="5"/>
    <s v="Graduate Degree"/>
    <x v="0"/>
    <s v="No"/>
    <n v="0"/>
    <s v="0-1 Miles"/>
    <x v="2"/>
    <n v="47"/>
    <s v="No"/>
  </r>
  <r>
    <n v="21752"/>
    <x v="0"/>
    <x v="1"/>
    <n v="60000"/>
    <n v="3"/>
    <s v="Graduate Degree"/>
    <x v="4"/>
    <s v="Yes"/>
    <n v="2"/>
    <s v="10+ Miles"/>
    <x v="2"/>
    <n v="64"/>
    <s v="No"/>
  </r>
  <r>
    <n v="27273"/>
    <x v="1"/>
    <x v="1"/>
    <n v="70000"/>
    <n v="3"/>
    <s v="Graduate Degree"/>
    <x v="2"/>
    <s v="No"/>
    <n v="0"/>
    <s v="0-1 Miles"/>
    <x v="2"/>
    <n v="35"/>
    <s v="Yes"/>
  </r>
  <r>
    <n v="22719"/>
    <x v="1"/>
    <x v="1"/>
    <n v="110000"/>
    <n v="3"/>
    <s v="Bachelors"/>
    <x v="4"/>
    <s v="Yes"/>
    <n v="4"/>
    <s v="2-5 Miles"/>
    <x v="2"/>
    <n v="40"/>
    <s v="Yes"/>
  </r>
  <r>
    <n v="22042"/>
    <x v="0"/>
    <x v="0"/>
    <n v="70000"/>
    <n v="0"/>
    <s v="Partial College"/>
    <x v="0"/>
    <s v="Yes"/>
    <n v="2"/>
    <s v="5-10 Miles"/>
    <x v="2"/>
    <n v="34"/>
    <s v="Yes"/>
  </r>
  <r>
    <n v="21451"/>
    <x v="0"/>
    <x v="0"/>
    <n v="40000"/>
    <n v="4"/>
    <s v="High School"/>
    <x v="2"/>
    <s v="Yes"/>
    <n v="2"/>
    <s v="10+ Miles"/>
    <x v="2"/>
    <n v="61"/>
    <s v="No"/>
  </r>
  <r>
    <n v="20754"/>
    <x v="0"/>
    <x v="1"/>
    <n v="30000"/>
    <n v="2"/>
    <s v="High School"/>
    <x v="0"/>
    <s v="Yes"/>
    <n v="2"/>
    <s v="1-2 Miles"/>
    <x v="2"/>
    <n v="51"/>
    <s v="No"/>
  </r>
  <r>
    <n v="12153"/>
    <x v="1"/>
    <x v="0"/>
    <n v="70000"/>
    <n v="3"/>
    <s v="Partial College"/>
    <x v="2"/>
    <s v="Yes"/>
    <n v="1"/>
    <s v="5-10 Miles"/>
    <x v="2"/>
    <n v="49"/>
    <s v="Yes"/>
  </r>
  <r>
    <n v="16895"/>
    <x v="0"/>
    <x v="0"/>
    <n v="40000"/>
    <n v="3"/>
    <s v="Partial College"/>
    <x v="2"/>
    <s v="No"/>
    <n v="2"/>
    <s v="1-2 Miles"/>
    <x v="2"/>
    <n v="54"/>
    <s v="Yes"/>
  </r>
  <r>
    <n v="26728"/>
    <x v="1"/>
    <x v="1"/>
    <n v="70000"/>
    <n v="3"/>
    <s v="Graduate Degree"/>
    <x v="4"/>
    <s v="No"/>
    <n v="2"/>
    <s v="1-2 Miles"/>
    <x v="2"/>
    <n v="53"/>
    <s v="Yes"/>
  </r>
  <r>
    <n v="11090"/>
    <x v="1"/>
    <x v="1"/>
    <n v="90000"/>
    <n v="2"/>
    <s v="Partial College"/>
    <x v="2"/>
    <s v="Yes"/>
    <n v="1"/>
    <s v="2-5 Miles"/>
    <x v="2"/>
    <n v="48"/>
    <s v="Yes"/>
  </r>
  <r>
    <n v="15862"/>
    <x v="1"/>
    <x v="0"/>
    <n v="50000"/>
    <n v="0"/>
    <s v="Graduate Degree"/>
    <x v="0"/>
    <s v="Yes"/>
    <n v="0"/>
    <s v="1-2 Miles"/>
    <x v="2"/>
    <n v="33"/>
    <s v="Yes"/>
  </r>
  <r>
    <n v="26495"/>
    <x v="1"/>
    <x v="0"/>
    <n v="40000"/>
    <n v="2"/>
    <s v="High School"/>
    <x v="2"/>
    <s v="Yes"/>
    <n v="2"/>
    <s v="10+ Miles"/>
    <x v="2"/>
    <n v="57"/>
    <s v="No"/>
  </r>
  <r>
    <n v="11823"/>
    <x v="0"/>
    <x v="0"/>
    <n v="70000"/>
    <n v="0"/>
    <s v="Graduate Degree"/>
    <x v="2"/>
    <s v="Yes"/>
    <n v="0"/>
    <s v="2-5 Miles"/>
    <x v="2"/>
    <n v="39"/>
    <s v="No"/>
  </r>
  <r>
    <n v="23449"/>
    <x v="0"/>
    <x v="1"/>
    <n v="60000"/>
    <n v="2"/>
    <s v="High School"/>
    <x v="2"/>
    <s v="Yes"/>
    <n v="2"/>
    <s v="5-10 Miles"/>
    <x v="2"/>
    <n v="48"/>
    <s v="No"/>
  </r>
  <r>
    <n v="23459"/>
    <x v="0"/>
    <x v="1"/>
    <n v="60000"/>
    <n v="2"/>
    <s v="High School"/>
    <x v="2"/>
    <s v="Yes"/>
    <n v="2"/>
    <s v="5-10 Miles"/>
    <x v="2"/>
    <n v="50"/>
    <s v="No"/>
  </r>
  <r>
    <n v="19543"/>
    <x v="0"/>
    <x v="1"/>
    <n v="70000"/>
    <n v="5"/>
    <s v="Graduate Degree"/>
    <x v="2"/>
    <s v="No"/>
    <n v="3"/>
    <s v="10+ Miles"/>
    <x v="2"/>
    <n v="47"/>
    <s v="No"/>
  </r>
  <r>
    <n v="14914"/>
    <x v="0"/>
    <x v="0"/>
    <n v="40000"/>
    <n v="1"/>
    <s v="Partial College"/>
    <x v="1"/>
    <s v="Yes"/>
    <n v="1"/>
    <s v="1-2 Miles"/>
    <x v="2"/>
    <n v="49"/>
    <s v="Yes"/>
  </r>
  <r>
    <n v="12033"/>
    <x v="1"/>
    <x v="0"/>
    <n v="40000"/>
    <n v="0"/>
    <s v="High School"/>
    <x v="0"/>
    <s v="No"/>
    <n v="2"/>
    <s v="0-1 Miles"/>
    <x v="2"/>
    <n v="27"/>
    <s v="Yes"/>
  </r>
  <r>
    <n v="11941"/>
    <x v="1"/>
    <x v="1"/>
    <n v="60000"/>
    <n v="0"/>
    <s v="Partial College"/>
    <x v="0"/>
    <s v="Yes"/>
    <n v="0"/>
    <s v="5-10 Miles"/>
    <x v="2"/>
    <n v="29"/>
    <s v="No"/>
  </r>
  <r>
    <n v="14389"/>
    <x v="0"/>
    <x v="1"/>
    <n v="60000"/>
    <n v="2"/>
    <s v="Bachelors"/>
    <x v="4"/>
    <s v="Yes"/>
    <n v="0"/>
    <s v="2-5 Miles"/>
    <x v="2"/>
    <n v="59"/>
    <s v="No"/>
  </r>
  <r>
    <n v="18050"/>
    <x v="0"/>
    <x v="0"/>
    <n v="60000"/>
    <n v="1"/>
    <s v="Partial College"/>
    <x v="0"/>
    <s v="Yes"/>
    <n v="1"/>
    <s v="0-1 Miles"/>
    <x v="2"/>
    <n v="45"/>
    <s v="Yes"/>
  </r>
  <r>
    <n v="19856"/>
    <x v="0"/>
    <x v="0"/>
    <n v="60000"/>
    <n v="4"/>
    <s v="Bachelors"/>
    <x v="4"/>
    <s v="Yes"/>
    <n v="2"/>
    <s v="2-5 Miles"/>
    <x v="2"/>
    <n v="60"/>
    <s v="No"/>
  </r>
  <r>
    <n v="11663"/>
    <x v="0"/>
    <x v="1"/>
    <n v="70000"/>
    <n v="4"/>
    <s v="Graduate Degree"/>
    <x v="2"/>
    <s v="Yes"/>
    <n v="0"/>
    <s v="0-1 Miles"/>
    <x v="2"/>
    <n v="36"/>
    <s v="Yes"/>
  </r>
  <r>
    <n v="27740"/>
    <x v="0"/>
    <x v="0"/>
    <n v="40000"/>
    <n v="0"/>
    <s v="High School"/>
    <x v="0"/>
    <s v="Yes"/>
    <n v="2"/>
    <s v="5-10 Miles"/>
    <x v="2"/>
    <n v="27"/>
    <s v="No"/>
  </r>
  <r>
    <n v="23455"/>
    <x v="1"/>
    <x v="1"/>
    <n v="80000"/>
    <n v="2"/>
    <s v="Partial High School"/>
    <x v="0"/>
    <s v="No"/>
    <n v="2"/>
    <s v="1-2 Miles"/>
    <x v="2"/>
    <n v="50"/>
    <s v="No"/>
  </r>
  <r>
    <n v="15292"/>
    <x v="1"/>
    <x v="0"/>
    <n v="60000"/>
    <n v="1"/>
    <s v="Graduate Degree"/>
    <x v="0"/>
    <s v="Yes"/>
    <n v="0"/>
    <s v="1-2 Miles"/>
    <x v="2"/>
    <n v="35"/>
    <s v="No"/>
  </r>
  <r>
    <n v="21587"/>
    <x v="0"/>
    <x v="0"/>
    <n v="60000"/>
    <n v="1"/>
    <s v="Graduate Degree"/>
    <x v="0"/>
    <s v="Yes"/>
    <n v="0"/>
    <s v="2-5 Miles"/>
    <x v="2"/>
    <n v="34"/>
    <s v="Yes"/>
  </r>
  <r>
    <n v="23513"/>
    <x v="0"/>
    <x v="0"/>
    <n v="40000"/>
    <n v="3"/>
    <s v="Partial College"/>
    <x v="2"/>
    <s v="Yes"/>
    <n v="2"/>
    <s v="5-10 Miles"/>
    <x v="2"/>
    <n v="54"/>
    <s v="No"/>
  </r>
  <r>
    <n v="24322"/>
    <x v="0"/>
    <x v="0"/>
    <n v="60000"/>
    <n v="4"/>
    <s v="Bachelors"/>
    <x v="0"/>
    <s v="No"/>
    <n v="2"/>
    <s v="0-1 Miles"/>
    <x v="2"/>
    <n v="42"/>
    <s v="No"/>
  </r>
  <r>
    <n v="26298"/>
    <x v="0"/>
    <x v="0"/>
    <n v="50000"/>
    <n v="1"/>
    <s v="Bachelors"/>
    <x v="0"/>
    <s v="Yes"/>
    <n v="0"/>
    <s v="2-5 Miles"/>
    <x v="2"/>
    <n v="34"/>
    <s v="Yes"/>
  </r>
  <r>
    <n v="25419"/>
    <x v="1"/>
    <x v="1"/>
    <n v="50000"/>
    <n v="2"/>
    <s v="Bachelors"/>
    <x v="0"/>
    <s v="No"/>
    <n v="1"/>
    <s v="0-1 Miles"/>
    <x v="2"/>
    <n v="38"/>
    <s v="Yes"/>
  </r>
  <r>
    <n v="13343"/>
    <x v="0"/>
    <x v="0"/>
    <n v="90000"/>
    <n v="5"/>
    <s v="Bachelors"/>
    <x v="4"/>
    <s v="Yes"/>
    <n v="2"/>
    <s v="1-2 Miles"/>
    <x v="2"/>
    <n v="63"/>
    <s v="Yes"/>
  </r>
  <r>
    <n v="11303"/>
    <x v="1"/>
    <x v="0"/>
    <n v="90000"/>
    <n v="4"/>
    <s v="High School"/>
    <x v="2"/>
    <s v="No"/>
    <n v="3"/>
    <s v="1-2 Miles"/>
    <x v="2"/>
    <n v="45"/>
    <s v="Yes"/>
  </r>
  <r>
    <n v="21693"/>
    <x v="1"/>
    <x v="0"/>
    <n v="60000"/>
    <n v="0"/>
    <s v="Graduate Degree"/>
    <x v="0"/>
    <s v="No"/>
    <n v="0"/>
    <s v="0-1 Miles"/>
    <x v="2"/>
    <n v="40"/>
    <s v="No"/>
  </r>
  <r>
    <n v="28056"/>
    <x v="0"/>
    <x v="1"/>
    <n v="70000"/>
    <n v="2"/>
    <s v="Partial High School"/>
    <x v="0"/>
    <s v="Yes"/>
    <n v="2"/>
    <s v="10+ Miles"/>
    <x v="2"/>
    <n v="53"/>
    <s v="No"/>
  </r>
  <r>
    <n v="11788"/>
    <x v="1"/>
    <x v="0"/>
    <n v="70000"/>
    <n v="1"/>
    <s v="Graduate Degree"/>
    <x v="2"/>
    <s v="Yes"/>
    <n v="0"/>
    <s v="2-5 Miles"/>
    <x v="2"/>
    <n v="34"/>
    <s v="No"/>
  </r>
  <r>
    <n v="22296"/>
    <x v="0"/>
    <x v="1"/>
    <n v="70000"/>
    <n v="0"/>
    <s v="Bachelors"/>
    <x v="2"/>
    <s v="No"/>
    <n v="1"/>
    <s v="0-1 Miles"/>
    <x v="2"/>
    <n v="38"/>
    <s v="No"/>
  </r>
  <r>
    <n v="15319"/>
    <x v="0"/>
    <x v="0"/>
    <n v="70000"/>
    <n v="4"/>
    <s v="Bachelors"/>
    <x v="4"/>
    <s v="No"/>
    <n v="1"/>
    <s v="1-2 Miles"/>
    <x v="2"/>
    <n v="59"/>
    <s v="No"/>
  </r>
  <r>
    <n v="17654"/>
    <x v="1"/>
    <x v="0"/>
    <n v="40000"/>
    <n v="3"/>
    <s v="Partial College"/>
    <x v="1"/>
    <s v="Yes"/>
    <n v="1"/>
    <s v="1-2 Miles"/>
    <x v="2"/>
    <n v="30"/>
    <s v="Yes"/>
  </r>
  <r>
    <n v="14662"/>
    <x v="0"/>
    <x v="1"/>
    <n v="60000"/>
    <n v="1"/>
    <s v="Bachelors"/>
    <x v="2"/>
    <s v="Yes"/>
    <n v="1"/>
    <s v="0-1 Miles"/>
    <x v="2"/>
    <n v="48"/>
    <s v="Yes"/>
  </r>
  <r>
    <n v="17541"/>
    <x v="0"/>
    <x v="0"/>
    <n v="40000"/>
    <n v="4"/>
    <s v="High School"/>
    <x v="0"/>
    <s v="Yes"/>
    <n v="2"/>
    <s v="2-5 Miles"/>
    <x v="2"/>
    <n v="43"/>
    <s v="No"/>
  </r>
  <r>
    <n v="13886"/>
    <x v="0"/>
    <x v="0"/>
    <n v="70000"/>
    <n v="4"/>
    <s v="Graduate Degree"/>
    <x v="2"/>
    <s v="Yes"/>
    <n v="0"/>
    <s v="2-5 Miles"/>
    <x v="2"/>
    <n v="35"/>
    <s v="Yes"/>
  </r>
  <r>
    <n v="13073"/>
    <x v="0"/>
    <x v="0"/>
    <n v="60000"/>
    <n v="0"/>
    <s v="Partial College"/>
    <x v="2"/>
    <s v="Yes"/>
    <n v="2"/>
    <s v="5-10 Miles"/>
    <x v="2"/>
    <n v="30"/>
    <s v="No"/>
  </r>
  <r>
    <n v="21940"/>
    <x v="0"/>
    <x v="1"/>
    <n v="90000"/>
    <n v="5"/>
    <s v="Graduate Degree"/>
    <x v="2"/>
    <s v="Yes"/>
    <n v="0"/>
    <s v="0-1 Miles"/>
    <x v="2"/>
    <n v="47"/>
    <s v="Yes"/>
  </r>
  <r>
    <n v="20196"/>
    <x v="0"/>
    <x v="1"/>
    <n v="60000"/>
    <n v="1"/>
    <s v="Partial College"/>
    <x v="0"/>
    <s v="Yes"/>
    <n v="1"/>
    <s v="2-5 Miles"/>
    <x v="2"/>
    <n v="45"/>
    <s v="Yes"/>
  </r>
  <r>
    <n v="23491"/>
    <x v="1"/>
    <x v="1"/>
    <n v="100000"/>
    <n v="0"/>
    <s v="Partial College"/>
    <x v="2"/>
    <s v="No"/>
    <n v="4"/>
    <s v="1-2 Miles"/>
    <x v="2"/>
    <n v="45"/>
    <s v="No"/>
  </r>
  <r>
    <n v="16651"/>
    <x v="0"/>
    <x v="0"/>
    <n v="120000"/>
    <n v="2"/>
    <s v="Bachelors"/>
    <x v="4"/>
    <s v="Yes"/>
    <n v="3"/>
    <s v="5-10 Miles"/>
    <x v="2"/>
    <n v="62"/>
    <s v="No"/>
  </r>
  <r>
    <n v="16813"/>
    <x v="0"/>
    <x v="1"/>
    <n v="60000"/>
    <n v="2"/>
    <s v="Partial College"/>
    <x v="2"/>
    <s v="Yes"/>
    <n v="2"/>
    <s v="10+ Miles"/>
    <x v="2"/>
    <n v="55"/>
    <s v="No"/>
  </r>
  <r>
    <n v="16007"/>
    <x v="0"/>
    <x v="0"/>
    <n v="90000"/>
    <n v="5"/>
    <s v="Bachelors"/>
    <x v="4"/>
    <s v="Yes"/>
    <n v="2"/>
    <s v="1-2 Miles"/>
    <x v="2"/>
    <n v="66"/>
    <s v="Yes"/>
  </r>
  <r>
    <n v="27434"/>
    <x v="1"/>
    <x v="1"/>
    <n v="70000"/>
    <n v="4"/>
    <s v="Partial College"/>
    <x v="2"/>
    <s v="Yes"/>
    <n v="1"/>
    <s v="10+ Miles"/>
    <x v="2"/>
    <n v="56"/>
    <s v="No"/>
  </r>
  <r>
    <n v="27756"/>
    <x v="1"/>
    <x v="0"/>
    <n v="50000"/>
    <n v="3"/>
    <s v="Bachelors"/>
    <x v="0"/>
    <s v="No"/>
    <n v="1"/>
    <s v="0-1 Miles"/>
    <x v="2"/>
    <n v="40"/>
    <s v="No"/>
  </r>
  <r>
    <n v="23818"/>
    <x v="0"/>
    <x v="0"/>
    <n v="50000"/>
    <n v="0"/>
    <s v="Graduate Degree"/>
    <x v="0"/>
    <s v="Yes"/>
    <n v="0"/>
    <s v="1-2 Miles"/>
    <x v="2"/>
    <n v="33"/>
    <s v="Yes"/>
  </r>
  <r>
    <n v="19012"/>
    <x v="0"/>
    <x v="1"/>
    <n v="80000"/>
    <n v="3"/>
    <s v="Bachelors"/>
    <x v="4"/>
    <s v="Yes"/>
    <n v="1"/>
    <s v="1-2 Miles"/>
    <x v="2"/>
    <n v="56"/>
    <s v="No"/>
  </r>
  <r>
    <n v="18329"/>
    <x v="1"/>
    <x v="1"/>
    <n v="30000"/>
    <n v="0"/>
    <s v="Partial High School"/>
    <x v="1"/>
    <s v="No"/>
    <n v="2"/>
    <s v="5-10 Miles"/>
    <x v="2"/>
    <n v="27"/>
    <s v="No"/>
  </r>
  <r>
    <n v="29037"/>
    <x v="0"/>
    <x v="1"/>
    <n v="60000"/>
    <n v="0"/>
    <s v="Graduate Degree"/>
    <x v="2"/>
    <s v="No"/>
    <n v="0"/>
    <s v="0-1 Miles"/>
    <x v="2"/>
    <n v="39"/>
    <s v="No"/>
  </r>
  <r>
    <n v="26576"/>
    <x v="0"/>
    <x v="0"/>
    <n v="60000"/>
    <n v="0"/>
    <s v="Partial College"/>
    <x v="0"/>
    <s v="Yes"/>
    <n v="2"/>
    <s v="5-10 Miles"/>
    <x v="2"/>
    <n v="31"/>
    <s v="No"/>
  </r>
  <r>
    <n v="12192"/>
    <x v="1"/>
    <x v="0"/>
    <n v="60000"/>
    <n v="2"/>
    <s v="Partial High School"/>
    <x v="0"/>
    <s v="No"/>
    <n v="2"/>
    <s v="1-2 Miles"/>
    <x v="2"/>
    <n v="51"/>
    <s v="No"/>
  </r>
  <r>
    <n v="14887"/>
    <x v="0"/>
    <x v="0"/>
    <n v="30000"/>
    <n v="1"/>
    <s v="High School"/>
    <x v="1"/>
    <s v="Yes"/>
    <n v="1"/>
    <s v="5-10 Miles"/>
    <x v="2"/>
    <n v="52"/>
    <s v="No"/>
  </r>
  <r>
    <n v="11734"/>
    <x v="0"/>
    <x v="1"/>
    <n v="60000"/>
    <n v="1"/>
    <s v="Partial College"/>
    <x v="0"/>
    <s v="No"/>
    <n v="1"/>
    <s v="0-1 Miles"/>
    <x v="2"/>
    <n v="47"/>
    <s v="No"/>
  </r>
  <r>
    <n v="17462"/>
    <x v="0"/>
    <x v="1"/>
    <n v="70000"/>
    <n v="3"/>
    <s v="Graduate Degree"/>
    <x v="4"/>
    <s v="Yes"/>
    <n v="2"/>
    <s v="5-10 Miles"/>
    <x v="2"/>
    <n v="53"/>
    <s v="Yes"/>
  </r>
  <r>
    <n v="20659"/>
    <x v="0"/>
    <x v="1"/>
    <n v="70000"/>
    <n v="3"/>
    <s v="Graduate Degree"/>
    <x v="2"/>
    <s v="Yes"/>
    <n v="0"/>
    <s v="0-1 Miles"/>
    <x v="2"/>
    <n v="35"/>
    <s v="Yes"/>
  </r>
  <r>
    <n v="28004"/>
    <x v="0"/>
    <x v="0"/>
    <n v="60000"/>
    <n v="3"/>
    <s v="Bachelors"/>
    <x v="4"/>
    <s v="Yes"/>
    <n v="2"/>
    <s v="10+ Miles"/>
    <x v="2"/>
    <n v="66"/>
    <s v="No"/>
  </r>
  <r>
    <n v="19741"/>
    <x v="1"/>
    <x v="0"/>
    <n v="80000"/>
    <n v="4"/>
    <s v="Graduate Degree"/>
    <x v="4"/>
    <s v="Yes"/>
    <n v="2"/>
    <s v="5-10 Miles"/>
    <x v="2"/>
    <n v="65"/>
    <s v="No"/>
  </r>
  <r>
    <n v="17450"/>
    <x v="0"/>
    <x v="1"/>
    <n v="80000"/>
    <n v="5"/>
    <s v="Partial College"/>
    <x v="2"/>
    <s v="Yes"/>
    <n v="3"/>
    <s v="5-10 Miles"/>
    <x v="2"/>
    <n v="45"/>
    <s v="No"/>
  </r>
  <r>
    <n v="17337"/>
    <x v="1"/>
    <x v="1"/>
    <n v="40000"/>
    <n v="0"/>
    <s v="High School"/>
    <x v="0"/>
    <s v="Yes"/>
    <n v="1"/>
    <s v="5-10 Miles"/>
    <x v="2"/>
    <n v="31"/>
    <s v="No"/>
  </r>
  <r>
    <n v="18594"/>
    <x v="1"/>
    <x v="0"/>
    <n v="80000"/>
    <n v="3"/>
    <s v="Bachelors"/>
    <x v="0"/>
    <s v="Yes"/>
    <n v="3"/>
    <s v="10+ Miles"/>
    <x v="2"/>
    <n v="40"/>
    <s v="Yes"/>
  </r>
  <r>
    <n v="15982"/>
    <x v="0"/>
    <x v="1"/>
    <n v="110000"/>
    <n v="5"/>
    <s v="Partial College"/>
    <x v="2"/>
    <s v="Yes"/>
    <n v="4"/>
    <s v="2-5 Miles"/>
    <x v="2"/>
    <n v="46"/>
    <s v="No"/>
  </r>
  <r>
    <n v="28625"/>
    <x v="1"/>
    <x v="1"/>
    <n v="40000"/>
    <n v="2"/>
    <s v="Partial College"/>
    <x v="1"/>
    <s v="No"/>
    <n v="1"/>
    <s v="1-2 Miles"/>
    <x v="2"/>
    <n v="47"/>
    <s v="Yes"/>
  </r>
  <r>
    <n v="11269"/>
    <x v="0"/>
    <x v="1"/>
    <n v="130000"/>
    <n v="2"/>
    <s v="Graduate Degree"/>
    <x v="4"/>
    <s v="Yes"/>
    <n v="2"/>
    <s v="0-1 Miles"/>
    <x v="2"/>
    <n v="41"/>
    <s v="No"/>
  </r>
  <r>
    <n v="25148"/>
    <x v="0"/>
    <x v="1"/>
    <n v="60000"/>
    <n v="2"/>
    <s v="High School"/>
    <x v="2"/>
    <s v="No"/>
    <n v="2"/>
    <s v="1-2 Miles"/>
    <x v="2"/>
    <n v="48"/>
    <s v="Yes"/>
  </r>
  <r>
    <n v="13920"/>
    <x v="1"/>
    <x v="0"/>
    <n v="50000"/>
    <n v="4"/>
    <s v="Bachelors"/>
    <x v="0"/>
    <s v="Yes"/>
    <n v="2"/>
    <s v="0-1 Miles"/>
    <x v="2"/>
    <n v="42"/>
    <s v="No"/>
  </r>
  <r>
    <n v="23704"/>
    <x v="1"/>
    <x v="1"/>
    <n v="40000"/>
    <n v="5"/>
    <s v="High School"/>
    <x v="2"/>
    <s v="Yes"/>
    <n v="4"/>
    <s v="10+ Miles"/>
    <x v="2"/>
    <n v="60"/>
    <s v="Yes"/>
  </r>
  <r>
    <n v="28972"/>
    <x v="1"/>
    <x v="0"/>
    <n v="60000"/>
    <n v="3"/>
    <s v="Graduate Degree"/>
    <x v="4"/>
    <s v="Yes"/>
    <n v="2"/>
    <s v="10+ Miles"/>
    <x v="2"/>
    <n v="66"/>
    <s v="No"/>
  </r>
  <r>
    <n v="22730"/>
    <x v="0"/>
    <x v="1"/>
    <n v="70000"/>
    <n v="5"/>
    <s v="Bachelors"/>
    <x v="4"/>
    <s v="Yes"/>
    <n v="2"/>
    <s v="10+ Miles"/>
    <x v="2"/>
    <n v="63"/>
    <s v="No"/>
  </r>
  <r>
    <n v="29134"/>
    <x v="0"/>
    <x v="1"/>
    <n v="60000"/>
    <n v="4"/>
    <s v="Bachelors"/>
    <x v="0"/>
    <s v="No"/>
    <n v="3"/>
    <s v="10+ Miles"/>
    <x v="2"/>
    <n v="42"/>
    <s v="No"/>
  </r>
  <r>
    <n v="14332"/>
    <x v="1"/>
    <x v="0"/>
    <n v="30000"/>
    <n v="0"/>
    <s v="High School"/>
    <x v="0"/>
    <s v="No"/>
    <n v="2"/>
    <s v="5-10 Miles"/>
    <x v="2"/>
    <n v="26"/>
    <s v="No"/>
  </r>
  <r>
    <n v="19117"/>
    <x v="1"/>
    <x v="0"/>
    <n v="60000"/>
    <n v="1"/>
    <s v="Graduate Degree"/>
    <x v="2"/>
    <s v="Yes"/>
    <n v="0"/>
    <s v="2-5 Miles"/>
    <x v="2"/>
    <n v="36"/>
    <s v="Yes"/>
  </r>
  <r>
    <n v="22864"/>
    <x v="0"/>
    <x v="1"/>
    <n v="90000"/>
    <n v="2"/>
    <s v="Partial College"/>
    <x v="2"/>
    <s v="No"/>
    <n v="0"/>
    <s v="5-10 Miles"/>
    <x v="2"/>
    <n v="49"/>
    <s v="Yes"/>
  </r>
  <r>
    <n v="11292"/>
    <x v="1"/>
    <x v="1"/>
    <n v="150000"/>
    <n v="1"/>
    <s v="Partial College"/>
    <x v="2"/>
    <s v="No"/>
    <n v="3"/>
    <s v="0-1 Miles"/>
    <x v="2"/>
    <n v="44"/>
    <s v="Yes"/>
  </r>
  <r>
    <n v="13466"/>
    <x v="0"/>
    <x v="1"/>
    <n v="80000"/>
    <n v="5"/>
    <s v="Partial College"/>
    <x v="2"/>
    <s v="Yes"/>
    <n v="3"/>
    <s v="1-2 Miles"/>
    <x v="2"/>
    <n v="46"/>
    <s v="No"/>
  </r>
  <r>
    <n v="23731"/>
    <x v="0"/>
    <x v="1"/>
    <n v="60000"/>
    <n v="2"/>
    <s v="High School"/>
    <x v="2"/>
    <s v="Yes"/>
    <n v="2"/>
    <s v="2-5 Miles"/>
    <x v="2"/>
    <n v="54"/>
    <s v="Yes"/>
  </r>
  <r>
    <n v="28672"/>
    <x v="1"/>
    <x v="1"/>
    <n v="70000"/>
    <n v="4"/>
    <s v="Graduate Degree"/>
    <x v="2"/>
    <s v="Yes"/>
    <n v="0"/>
    <s v="2-5 Miles"/>
    <x v="2"/>
    <n v="35"/>
    <s v="Yes"/>
  </r>
  <r>
    <n v="11809"/>
    <x v="0"/>
    <x v="1"/>
    <n v="60000"/>
    <n v="2"/>
    <s v="Bachelors"/>
    <x v="0"/>
    <s v="Yes"/>
    <n v="0"/>
    <s v="0-1 Miles"/>
    <x v="2"/>
    <n v="38"/>
    <s v="Yes"/>
  </r>
  <r>
    <n v="19664"/>
    <x v="1"/>
    <x v="1"/>
    <n v="100000"/>
    <n v="3"/>
    <s v="Bachelors"/>
    <x v="4"/>
    <s v="No"/>
    <n v="3"/>
    <s v="1-2 Miles"/>
    <x v="2"/>
    <n v="38"/>
    <s v="No"/>
  </r>
  <r>
    <n v="12121"/>
    <x v="1"/>
    <x v="1"/>
    <n v="60000"/>
    <n v="3"/>
    <s v="High School"/>
    <x v="2"/>
    <s v="Yes"/>
    <n v="2"/>
    <s v="10+ Miles"/>
    <x v="2"/>
    <n v="53"/>
    <s v="Yes"/>
  </r>
  <r>
    <n v="13507"/>
    <x v="0"/>
    <x v="0"/>
    <n v="10000"/>
    <n v="2"/>
    <s v="Partial College"/>
    <x v="3"/>
    <s v="Yes"/>
    <n v="0"/>
    <s v="1-2 Miles"/>
    <x v="0"/>
    <n v="50"/>
    <s v="No"/>
  </r>
  <r>
    <n v="19280"/>
    <x v="0"/>
    <x v="1"/>
    <n v="120000"/>
    <n v="2"/>
    <s v="Partial College"/>
    <x v="3"/>
    <s v="Yes"/>
    <n v="1"/>
    <s v="0-1 Miles"/>
    <x v="0"/>
    <n v="40"/>
    <s v="Yes"/>
  </r>
  <r>
    <n v="22173"/>
    <x v="0"/>
    <x v="0"/>
    <n v="30000"/>
    <n v="3"/>
    <s v="High School"/>
    <x v="0"/>
    <s v="No"/>
    <n v="2"/>
    <s v="1-2 Miles"/>
    <x v="1"/>
    <n v="54"/>
    <s v="Yes"/>
  </r>
  <r>
    <n v="12697"/>
    <x v="1"/>
    <x v="0"/>
    <n v="90000"/>
    <n v="0"/>
    <s v="Bachelors"/>
    <x v="2"/>
    <s v="No"/>
    <n v="4"/>
    <s v="10+ Miles"/>
    <x v="1"/>
    <n v="36"/>
    <s v="No"/>
  </r>
  <r>
    <n v="11434"/>
    <x v="0"/>
    <x v="1"/>
    <n v="170000"/>
    <n v="5"/>
    <s v="Partial College"/>
    <x v="2"/>
    <s v="Yes"/>
    <n v="0"/>
    <s v="0-1 Miles"/>
    <x v="0"/>
    <n v="55"/>
    <s v="No"/>
  </r>
  <r>
    <n v="25323"/>
    <x v="0"/>
    <x v="1"/>
    <n v="40000"/>
    <n v="2"/>
    <s v="Partial College"/>
    <x v="1"/>
    <s v="Yes"/>
    <n v="1"/>
    <s v="1-2 Miles"/>
    <x v="0"/>
    <n v="35"/>
    <s v="Yes"/>
  </r>
  <r>
    <n v="23542"/>
    <x v="1"/>
    <x v="1"/>
    <n v="60000"/>
    <n v="1"/>
    <s v="Partial College"/>
    <x v="0"/>
    <s v="No"/>
    <n v="1"/>
    <s v="0-1 Miles"/>
    <x v="1"/>
    <n v="45"/>
    <s v="Yes"/>
  </r>
  <r>
    <n v="20870"/>
    <x v="1"/>
    <x v="0"/>
    <n v="10000"/>
    <n v="2"/>
    <s v="High School"/>
    <x v="3"/>
    <s v="Yes"/>
    <n v="1"/>
    <s v="0-1 Miles"/>
    <x v="0"/>
    <n v="38"/>
    <s v="Yes"/>
  </r>
  <r>
    <n v="23316"/>
    <x v="1"/>
    <x v="1"/>
    <n v="30000"/>
    <n v="3"/>
    <s v="Partial College"/>
    <x v="1"/>
    <s v="No"/>
    <n v="2"/>
    <s v="1-2 Miles"/>
    <x v="1"/>
    <n v="59"/>
    <s v="Yes"/>
  </r>
  <r>
    <n v="12610"/>
    <x v="0"/>
    <x v="0"/>
    <n v="30000"/>
    <n v="1"/>
    <s v="Bachelors"/>
    <x v="1"/>
    <s v="Yes"/>
    <n v="0"/>
    <s v="0-1 Miles"/>
    <x v="0"/>
    <n v="47"/>
    <s v="No"/>
  </r>
  <r>
    <n v="27183"/>
    <x v="1"/>
    <x v="1"/>
    <n v="40000"/>
    <n v="2"/>
    <s v="Partial College"/>
    <x v="1"/>
    <s v="Yes"/>
    <n v="1"/>
    <s v="1-2 Miles"/>
    <x v="0"/>
    <n v="35"/>
    <s v="Yes"/>
  </r>
  <r>
    <n v="25940"/>
    <x v="1"/>
    <x v="1"/>
    <n v="20000"/>
    <n v="2"/>
    <s v="Partial High School"/>
    <x v="1"/>
    <s v="Yes"/>
    <n v="2"/>
    <s v="5-10 Miles"/>
    <x v="1"/>
    <n v="55"/>
    <s v="Yes"/>
  </r>
  <r>
    <n v="25598"/>
    <x v="0"/>
    <x v="0"/>
    <n v="40000"/>
    <n v="0"/>
    <s v="Graduate Degree"/>
    <x v="1"/>
    <s v="Yes"/>
    <n v="0"/>
    <s v="0-1 Miles"/>
    <x v="0"/>
    <n v="36"/>
    <s v="Yes"/>
  </r>
  <r>
    <n v="21564"/>
    <x v="1"/>
    <x v="0"/>
    <n v="80000"/>
    <n v="0"/>
    <s v="Bachelors"/>
    <x v="2"/>
    <s v="Yes"/>
    <n v="4"/>
    <s v="10+ Miles"/>
    <x v="1"/>
    <n v="35"/>
    <s v="No"/>
  </r>
  <r>
    <n v="19193"/>
    <x v="1"/>
    <x v="1"/>
    <n v="40000"/>
    <n v="2"/>
    <s v="Partial College"/>
    <x v="1"/>
    <s v="Yes"/>
    <n v="0"/>
    <s v="1-2 Miles"/>
    <x v="0"/>
    <n v="35"/>
    <s v="Yes"/>
  </r>
  <r>
    <n v="26412"/>
    <x v="0"/>
    <x v="0"/>
    <n v="80000"/>
    <n v="5"/>
    <s v="High School"/>
    <x v="4"/>
    <s v="No"/>
    <n v="3"/>
    <s v="5-10 Miles"/>
    <x v="0"/>
    <n v="56"/>
    <s v="No"/>
  </r>
  <r>
    <n v="27184"/>
    <x v="1"/>
    <x v="1"/>
    <n v="40000"/>
    <n v="2"/>
    <s v="Partial College"/>
    <x v="1"/>
    <s v="No"/>
    <n v="1"/>
    <s v="0-1 Miles"/>
    <x v="0"/>
    <n v="34"/>
    <s v="No"/>
  </r>
  <r>
    <n v="12590"/>
    <x v="1"/>
    <x v="1"/>
    <n v="30000"/>
    <n v="1"/>
    <s v="Bachelors"/>
    <x v="1"/>
    <s v="Yes"/>
    <n v="0"/>
    <s v="0-1 Miles"/>
    <x v="0"/>
    <n v="63"/>
    <s v="No"/>
  </r>
  <r>
    <n v="17841"/>
    <x v="1"/>
    <x v="1"/>
    <n v="30000"/>
    <n v="0"/>
    <s v="Partial College"/>
    <x v="1"/>
    <s v="No"/>
    <n v="1"/>
    <s v="0-1 Miles"/>
    <x v="0"/>
    <n v="29"/>
    <s v="Yes"/>
  </r>
  <r>
    <n v="18283"/>
    <x v="1"/>
    <x v="0"/>
    <n v="100000"/>
    <n v="0"/>
    <s v="Bachelors"/>
    <x v="2"/>
    <s v="No"/>
    <n v="1"/>
    <s v="5-10 Miles"/>
    <x v="1"/>
    <n v="40"/>
    <s v="No"/>
  </r>
  <r>
    <n v="18299"/>
    <x v="0"/>
    <x v="1"/>
    <n v="70000"/>
    <n v="5"/>
    <s v="Partial College"/>
    <x v="0"/>
    <s v="Yes"/>
    <n v="2"/>
    <s v="5-10 Miles"/>
    <x v="1"/>
    <n v="44"/>
    <s v="No"/>
  </r>
  <r>
    <n v="16466"/>
    <x v="1"/>
    <x v="0"/>
    <n v="20000"/>
    <n v="0"/>
    <s v="Partial High School"/>
    <x v="3"/>
    <s v="No"/>
    <n v="2"/>
    <s v="0-1 Miles"/>
    <x v="0"/>
    <n v="32"/>
    <s v="Yes"/>
  </r>
  <r>
    <n v="19273"/>
    <x v="0"/>
    <x v="0"/>
    <n v="20000"/>
    <n v="2"/>
    <s v="Partial College"/>
    <x v="3"/>
    <s v="Yes"/>
    <n v="0"/>
    <s v="0-1 Miles"/>
    <x v="0"/>
    <n v="63"/>
    <s v="No"/>
  </r>
  <r>
    <n v="22400"/>
    <x v="0"/>
    <x v="1"/>
    <n v="10000"/>
    <n v="0"/>
    <s v="Partial College"/>
    <x v="3"/>
    <s v="No"/>
    <n v="1"/>
    <s v="0-1 Miles"/>
    <x v="1"/>
    <n v="26"/>
    <s v="Yes"/>
  </r>
  <r>
    <n v="20942"/>
    <x v="1"/>
    <x v="0"/>
    <n v="20000"/>
    <n v="0"/>
    <s v="High School"/>
    <x v="3"/>
    <s v="No"/>
    <n v="1"/>
    <s v="5-10 Miles"/>
    <x v="0"/>
    <n v="31"/>
    <s v="No"/>
  </r>
  <r>
    <n v="18484"/>
    <x v="1"/>
    <x v="1"/>
    <n v="80000"/>
    <n v="2"/>
    <s v="High School"/>
    <x v="0"/>
    <s v="No"/>
    <n v="2"/>
    <s v="1-2 Miles"/>
    <x v="1"/>
    <n v="50"/>
    <s v="Y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7">
  <r>
    <x v="0"/>
    <s v="M"/>
    <x v="0"/>
    <n v="40000"/>
    <n v="1"/>
    <s v="Bachelors"/>
    <s v="Skilled Manual"/>
    <s v="Yes"/>
    <n v="0"/>
    <s v="0-1 Miles"/>
    <s v="Europe"/>
    <n v="42"/>
    <x v="0"/>
  </r>
  <r>
    <x v="1"/>
    <s v="M"/>
    <x v="1"/>
    <n v="30000"/>
    <n v="3"/>
    <s v="Partial College"/>
    <s v="Clerical"/>
    <s v="Yes"/>
    <n v="1"/>
    <s v="0-1 Miles"/>
    <s v="Europe"/>
    <n v="43"/>
    <x v="0"/>
  </r>
  <r>
    <x v="2"/>
    <s v="M"/>
    <x v="1"/>
    <n v="80000"/>
    <n v="5"/>
    <s v="Partial College"/>
    <s v="Professional"/>
    <s v="No"/>
    <n v="2"/>
    <s v="2-5 Miles"/>
    <s v="Europe"/>
    <n v="60"/>
    <x v="0"/>
  </r>
  <r>
    <x v="3"/>
    <s v="S"/>
    <x v="1"/>
    <n v="70000"/>
    <n v="0"/>
    <s v="Bachelors"/>
    <s v="Professional"/>
    <s v="Yes"/>
    <n v="1"/>
    <s v="5-10 Miles"/>
    <s v="Pacific"/>
    <n v="41"/>
    <x v="1"/>
  </r>
  <r>
    <x v="4"/>
    <s v="S"/>
    <x v="1"/>
    <n v="30000"/>
    <n v="0"/>
    <s v="Bachelors"/>
    <s v="Clerical"/>
    <s v="No"/>
    <n v="0"/>
    <s v="0-1 Miles"/>
    <s v="Europe"/>
    <n v="36"/>
    <x v="1"/>
  </r>
  <r>
    <x v="5"/>
    <s v="M"/>
    <x v="0"/>
    <n v="10000"/>
    <n v="2"/>
    <s v="Partial College"/>
    <s v="Manual"/>
    <s v="Yes"/>
    <n v="0"/>
    <s v="1-2 Miles"/>
    <s v="Europe"/>
    <n v="50"/>
    <x v="0"/>
  </r>
  <r>
    <x v="6"/>
    <s v="S"/>
    <x v="1"/>
    <n v="160000"/>
    <n v="2"/>
    <s v="High School"/>
    <s v="Management"/>
    <s v="Yes"/>
    <n v="4"/>
    <s v="0-1 Miles"/>
    <s v="Pacific"/>
    <n v="33"/>
    <x v="1"/>
  </r>
  <r>
    <x v="7"/>
    <s v="M"/>
    <x v="1"/>
    <n v="40000"/>
    <n v="1"/>
    <s v="Bachelors"/>
    <s v="Skilled Manual"/>
    <s v="Yes"/>
    <n v="0"/>
    <s v="0-1 Miles"/>
    <s v="Europe"/>
    <n v="43"/>
    <x v="1"/>
  </r>
  <r>
    <x v="8"/>
    <s v="M"/>
    <x v="1"/>
    <n v="20000"/>
    <n v="2"/>
    <s v="Partial High School"/>
    <s v="Clerical"/>
    <s v="Yes"/>
    <n v="2"/>
    <s v="5-10 Miles"/>
    <s v="Pacific"/>
    <n v="58"/>
    <x v="0"/>
  </r>
  <r>
    <x v="9"/>
    <s v="M"/>
    <x v="1"/>
    <n v="120000"/>
    <n v="2"/>
    <s v="Partial College"/>
    <s v="Manual"/>
    <s v="Yes"/>
    <n v="1"/>
    <s v="0-1 Miles"/>
    <s v="Europe"/>
    <n v="40"/>
    <x v="1"/>
  </r>
  <r>
    <x v="10"/>
    <s v="M"/>
    <x v="0"/>
    <n v="30000"/>
    <n v="3"/>
    <s v="High School"/>
    <s v="Skilled Manual"/>
    <s v="No"/>
    <n v="2"/>
    <s v="1-2 Miles"/>
    <s v="Pacific"/>
    <n v="54"/>
    <x v="1"/>
  </r>
  <r>
    <x v="11"/>
    <s v="S"/>
    <x v="0"/>
    <n v="90000"/>
    <n v="0"/>
    <s v="Bachelors"/>
    <s v="Professional"/>
    <s v="No"/>
    <n v="4"/>
    <s v="10+ Miles"/>
    <s v="Pacific"/>
    <n v="36"/>
    <x v="0"/>
  </r>
  <r>
    <x v="12"/>
    <s v="M"/>
    <x v="1"/>
    <n v="170000"/>
    <n v="5"/>
    <s v="Partial College"/>
    <s v="Professional"/>
    <s v="Yes"/>
    <n v="0"/>
    <s v="0-1 Miles"/>
    <s v="Europe"/>
    <n v="55"/>
    <x v="0"/>
  </r>
  <r>
    <x v="13"/>
    <s v="M"/>
    <x v="1"/>
    <n v="40000"/>
    <n v="2"/>
    <s v="Partial College"/>
    <s v="Clerical"/>
    <s v="Yes"/>
    <n v="1"/>
    <s v="1-2 Miles"/>
    <s v="Europe"/>
    <n v="35"/>
    <x v="1"/>
  </r>
  <r>
    <x v="14"/>
    <s v="S"/>
    <x v="1"/>
    <n v="60000"/>
    <n v="1"/>
    <s v="Partial College"/>
    <s v="Skilled Manual"/>
    <s v="No"/>
    <n v="1"/>
    <s v="0-1 Miles"/>
    <s v="Pacific"/>
    <n v="45"/>
    <x v="1"/>
  </r>
  <r>
    <x v="15"/>
    <s v="S"/>
    <x v="0"/>
    <n v="10000"/>
    <n v="2"/>
    <s v="High School"/>
    <s v="Manual"/>
    <s v="Yes"/>
    <n v="1"/>
    <s v="0-1 Miles"/>
    <s v="Europe"/>
    <n v="38"/>
    <x v="1"/>
  </r>
  <r>
    <x v="16"/>
    <s v="S"/>
    <x v="1"/>
    <n v="30000"/>
    <n v="3"/>
    <s v="Partial College"/>
    <s v="Clerical"/>
    <s v="No"/>
    <n v="2"/>
    <s v="1-2 Miles"/>
    <s v="Pacific"/>
    <n v="59"/>
    <x v="1"/>
  </r>
  <r>
    <x v="17"/>
    <s v="M"/>
    <x v="0"/>
    <n v="30000"/>
    <n v="1"/>
    <s v="Bachelors"/>
    <s v="Clerical"/>
    <s v="Yes"/>
    <n v="0"/>
    <s v="0-1 Miles"/>
    <s v="Europe"/>
    <n v="47"/>
    <x v="0"/>
  </r>
  <r>
    <x v="18"/>
    <s v="S"/>
    <x v="1"/>
    <n v="40000"/>
    <n v="2"/>
    <s v="Partial College"/>
    <s v="Clerical"/>
    <s v="Yes"/>
    <n v="1"/>
    <s v="1-2 Miles"/>
    <s v="Europe"/>
    <n v="35"/>
    <x v="1"/>
  </r>
  <r>
    <x v="19"/>
    <s v="S"/>
    <x v="1"/>
    <n v="20000"/>
    <n v="2"/>
    <s v="Partial High School"/>
    <s v="Clerical"/>
    <s v="Yes"/>
    <n v="2"/>
    <s v="5-10 Miles"/>
    <s v="Pacific"/>
    <n v="55"/>
    <x v="1"/>
  </r>
  <r>
    <x v="20"/>
    <s v="M"/>
    <x v="0"/>
    <n v="40000"/>
    <n v="0"/>
    <s v="Graduate Degree"/>
    <s v="Clerical"/>
    <s v="Yes"/>
    <n v="0"/>
    <s v="0-1 Miles"/>
    <s v="Europe"/>
    <n v="36"/>
    <x v="1"/>
  </r>
  <r>
    <x v="21"/>
    <s v="S"/>
    <x v="0"/>
    <n v="80000"/>
    <n v="0"/>
    <s v="Bachelors"/>
    <s v="Professional"/>
    <s v="Yes"/>
    <n v="4"/>
    <s v="10+ Miles"/>
    <s v="Pacific"/>
    <n v="35"/>
    <x v="0"/>
  </r>
  <r>
    <x v="22"/>
    <s v="S"/>
    <x v="1"/>
    <n v="40000"/>
    <n v="2"/>
    <s v="Partial College"/>
    <s v="Clerical"/>
    <s v="Yes"/>
    <n v="0"/>
    <s v="1-2 Miles"/>
    <s v="Europe"/>
    <n v="35"/>
    <x v="1"/>
  </r>
  <r>
    <x v="23"/>
    <s v="M"/>
    <x v="0"/>
    <n v="80000"/>
    <n v="5"/>
    <s v="High School"/>
    <s v="Management"/>
    <s v="No"/>
    <n v="3"/>
    <s v="5-10 Miles"/>
    <s v="Europe"/>
    <n v="56"/>
    <x v="0"/>
  </r>
  <r>
    <x v="24"/>
    <s v="S"/>
    <x v="1"/>
    <n v="40000"/>
    <n v="2"/>
    <s v="Partial College"/>
    <s v="Clerical"/>
    <s v="No"/>
    <n v="1"/>
    <s v="0-1 Miles"/>
    <s v="Europe"/>
    <n v="34"/>
    <x v="0"/>
  </r>
  <r>
    <x v="25"/>
    <s v="S"/>
    <x v="1"/>
    <n v="30000"/>
    <n v="1"/>
    <s v="Bachelors"/>
    <s v="Clerical"/>
    <s v="Yes"/>
    <n v="0"/>
    <s v="0-1 Miles"/>
    <s v="Europe"/>
    <n v="63"/>
    <x v="0"/>
  </r>
  <r>
    <x v="26"/>
    <s v="S"/>
    <x v="1"/>
    <n v="30000"/>
    <n v="0"/>
    <s v="Partial College"/>
    <s v="Clerical"/>
    <s v="No"/>
    <n v="1"/>
    <s v="0-1 Miles"/>
    <s v="Europe"/>
    <n v="29"/>
    <x v="1"/>
  </r>
  <r>
    <x v="27"/>
    <s v="S"/>
    <x v="0"/>
    <n v="100000"/>
    <n v="0"/>
    <s v="Bachelors"/>
    <s v="Professional"/>
    <s v="No"/>
    <n v="1"/>
    <s v="5-10 Miles"/>
    <s v="Pacific"/>
    <n v="40"/>
    <x v="0"/>
  </r>
  <r>
    <x v="28"/>
    <s v="M"/>
    <x v="1"/>
    <n v="70000"/>
    <n v="5"/>
    <s v="Partial College"/>
    <s v="Skilled Manual"/>
    <s v="Yes"/>
    <n v="2"/>
    <s v="5-10 Miles"/>
    <s v="Pacific"/>
    <n v="44"/>
    <x v="0"/>
  </r>
  <r>
    <x v="29"/>
    <s v="S"/>
    <x v="0"/>
    <n v="20000"/>
    <n v="0"/>
    <s v="Partial High School"/>
    <s v="Manual"/>
    <s v="No"/>
    <n v="2"/>
    <s v="0-1 Miles"/>
    <s v="Europe"/>
    <n v="32"/>
    <x v="1"/>
  </r>
  <r>
    <x v="30"/>
    <s v="M"/>
    <x v="0"/>
    <n v="20000"/>
    <n v="2"/>
    <s v="Partial College"/>
    <s v="Manual"/>
    <s v="Yes"/>
    <n v="0"/>
    <s v="0-1 Miles"/>
    <s v="Europe"/>
    <n v="63"/>
    <x v="0"/>
  </r>
  <r>
    <x v="31"/>
    <s v="M"/>
    <x v="1"/>
    <n v="10000"/>
    <n v="0"/>
    <s v="Partial College"/>
    <s v="Manual"/>
    <s v="No"/>
    <n v="1"/>
    <s v="0-1 Miles"/>
    <s v="Pacific"/>
    <n v="26"/>
    <x v="1"/>
  </r>
  <r>
    <x v="32"/>
    <s v="S"/>
    <x v="0"/>
    <n v="20000"/>
    <n v="0"/>
    <s v="High School"/>
    <s v="Manual"/>
    <s v="No"/>
    <n v="1"/>
    <s v="5-10 Miles"/>
    <s v="Europe"/>
    <n v="31"/>
    <x v="0"/>
  </r>
  <r>
    <x v="33"/>
    <s v="S"/>
    <x v="1"/>
    <n v="80000"/>
    <n v="2"/>
    <s v="High School"/>
    <s v="Skilled Manual"/>
    <s v="No"/>
    <n v="2"/>
    <s v="1-2 Miles"/>
    <s v="Pacific"/>
    <n v="50"/>
    <x v="1"/>
  </r>
  <r>
    <x v="34"/>
    <s v="S"/>
    <x v="1"/>
    <n v="90000"/>
    <n v="5"/>
    <s v="Partial College"/>
    <s v="Professional"/>
    <s v="No"/>
    <n v="2"/>
    <s v="2-5 Miles"/>
    <s v="Europe"/>
    <n v="62"/>
    <x v="1"/>
  </r>
  <r>
    <x v="35"/>
    <s v="S"/>
    <x v="0"/>
    <n v="10000"/>
    <n v="5"/>
    <s v="Partial High School"/>
    <s v="Manual"/>
    <s v="No"/>
    <n v="2"/>
    <s v="0-1 Miles"/>
    <s v="Europe"/>
    <n v="41"/>
    <x v="0"/>
  </r>
  <r>
    <x v="36"/>
    <s v="M"/>
    <x v="0"/>
    <n v="10000"/>
    <n v="2"/>
    <s v="Partial College"/>
    <s v="Manual"/>
    <s v="Yes"/>
    <n v="1"/>
    <s v="0-1 Miles"/>
    <s v="Europe"/>
    <n v="50"/>
    <x v="1"/>
  </r>
  <r>
    <x v="37"/>
    <s v="S"/>
    <x v="0"/>
    <n v="30000"/>
    <n v="0"/>
    <s v="Partial College"/>
    <s v="Clerical"/>
    <s v="No"/>
    <n v="1"/>
    <s v="2-5 Miles"/>
    <s v="Europe"/>
    <n v="30"/>
    <x v="0"/>
  </r>
  <r>
    <x v="38"/>
    <s v="S"/>
    <x v="1"/>
    <n v="20000"/>
    <n v="0"/>
    <s v="High School"/>
    <s v="Manual"/>
    <s v="No"/>
    <n v="1"/>
    <s v="2-5 Miles"/>
    <s v="Europe"/>
    <n v="28"/>
    <x v="0"/>
  </r>
  <r>
    <x v="39"/>
    <s v="S"/>
    <x v="0"/>
    <n v="10000"/>
    <n v="4"/>
    <s v="Partial High School"/>
    <s v="Manual"/>
    <s v="Yes"/>
    <n v="2"/>
    <s v="0-1 Miles"/>
    <s v="Europe"/>
    <n v="40"/>
    <x v="1"/>
  </r>
  <r>
    <x v="40"/>
    <s v="S"/>
    <x v="0"/>
    <n v="30000"/>
    <n v="2"/>
    <s v="Partial College"/>
    <s v="Clerical"/>
    <s v="No"/>
    <n v="0"/>
    <s v="0-1 Miles"/>
    <s v="Europe"/>
    <n v="43"/>
    <x v="0"/>
  </r>
  <r>
    <x v="41"/>
    <s v="S"/>
    <x v="0"/>
    <n v="40000"/>
    <n v="2"/>
    <s v="Bachelors"/>
    <s v="Management"/>
    <s v="Yes"/>
    <n v="2"/>
    <s v="5-10 Miles"/>
    <s v="Pacific"/>
    <n v="65"/>
    <x v="1"/>
  </r>
  <r>
    <x v="42"/>
    <s v="M"/>
    <x v="0"/>
    <n v="10000"/>
    <n v="1"/>
    <s v="Graduate Degree"/>
    <s v="Manual"/>
    <s v="Yes"/>
    <n v="0"/>
    <s v="0-1 Miles"/>
    <s v="Europe"/>
    <n v="40"/>
    <x v="0"/>
  </r>
  <r>
    <x v="43"/>
    <s v="M"/>
    <x v="0"/>
    <n v="170000"/>
    <n v="4"/>
    <s v="Partial College"/>
    <s v="Professional"/>
    <s v="No"/>
    <n v="3"/>
    <s v="5-10 Miles"/>
    <s v="Europe"/>
    <n v="48"/>
    <x v="1"/>
  </r>
  <r>
    <x v="44"/>
    <s v="M"/>
    <x v="0"/>
    <n v="20000"/>
    <n v="3"/>
    <s v="High School"/>
    <s v="Manual"/>
    <s v="Yes"/>
    <n v="0"/>
    <s v="0-1 Miles"/>
    <s v="Europe"/>
    <n v="41"/>
    <x v="1"/>
  </r>
  <r>
    <x v="45"/>
    <s v="M"/>
    <x v="0"/>
    <n v="20000"/>
    <n v="1"/>
    <s v="Bachelors"/>
    <s v="Clerical"/>
    <s v="Yes"/>
    <n v="0"/>
    <s v="0-1 Miles"/>
    <s v="Europe"/>
    <n v="66"/>
    <x v="1"/>
  </r>
  <r>
    <x v="46"/>
    <s v="M"/>
    <x v="0"/>
    <n v="60000"/>
    <n v="1"/>
    <s v="Partial College"/>
    <s v="Skilled Manual"/>
    <s v="Yes"/>
    <n v="1"/>
    <s v="5-10 Miles"/>
    <s v="Pacific"/>
    <n v="46"/>
    <x v="1"/>
  </r>
  <r>
    <x v="47"/>
    <s v="S"/>
    <x v="0"/>
    <n v="40000"/>
    <n v="2"/>
    <s v="Partial College"/>
    <s v="Skilled Manual"/>
    <s v="Yes"/>
    <n v="2"/>
    <s v="5-10 Miles"/>
    <s v="Pacific"/>
    <n v="52"/>
    <x v="1"/>
  </r>
  <r>
    <x v="48"/>
    <s v="M"/>
    <x v="1"/>
    <n v="30000"/>
    <n v="2"/>
    <s v="Partial College"/>
    <s v="Clerical"/>
    <s v="No"/>
    <n v="2"/>
    <s v="0-1 Miles"/>
    <s v="Europe"/>
    <n v="42"/>
    <x v="0"/>
  </r>
  <r>
    <x v="49"/>
    <s v="S"/>
    <x v="1"/>
    <n v="40000"/>
    <n v="0"/>
    <s v="Bachelors"/>
    <s v="Clerical"/>
    <s v="Yes"/>
    <n v="0"/>
    <s v="0-1 Miles"/>
    <s v="Europe"/>
    <n v="39"/>
    <x v="1"/>
  </r>
  <r>
    <x v="50"/>
    <s v="S"/>
    <x v="0"/>
    <n v="30000"/>
    <n v="0"/>
    <s v="Partial College"/>
    <s v="Clerical"/>
    <s v="No"/>
    <n v="1"/>
    <s v="0-1 Miles"/>
    <s v="Europe"/>
    <n v="28"/>
    <x v="0"/>
  </r>
  <r>
    <x v="51"/>
    <s v="S"/>
    <x v="1"/>
    <n v="80000"/>
    <n v="0"/>
    <s v="Bachelors"/>
    <s v="Professional"/>
    <s v="No"/>
    <n v="4"/>
    <s v="10+ Miles"/>
    <s v="Pacific"/>
    <n v="35"/>
    <x v="0"/>
  </r>
  <r>
    <x v="52"/>
    <s v="M"/>
    <x v="0"/>
    <n v="20000"/>
    <n v="1"/>
    <s v="Bachelors"/>
    <s v="Clerical"/>
    <s v="Yes"/>
    <n v="0"/>
    <s v="0-1 Miles"/>
    <s v="Europe"/>
    <n v="65"/>
    <x v="0"/>
  </r>
  <r>
    <x v="53"/>
    <s v="S"/>
    <x v="0"/>
    <n v="90000"/>
    <n v="4"/>
    <s v="High School"/>
    <s v="Management"/>
    <s v="No"/>
    <n v="3"/>
    <s v="5-10 Miles"/>
    <s v="Europe"/>
    <n v="56"/>
    <x v="0"/>
  </r>
  <r>
    <x v="54"/>
    <s v="S"/>
    <x v="0"/>
    <n v="70000"/>
    <n v="0"/>
    <s v="Bachelors"/>
    <s v="Professional"/>
    <s v="No"/>
    <n v="1"/>
    <s v="5-10 Miles"/>
    <s v="Pacific"/>
    <n v="42"/>
    <x v="0"/>
  </r>
  <r>
    <x v="55"/>
    <s v="M"/>
    <x v="1"/>
    <n v="80000"/>
    <n v="4"/>
    <s v="High School"/>
    <s v="Professional"/>
    <s v="Yes"/>
    <n v="2"/>
    <s v="10+ Miles"/>
    <s v="Europe"/>
    <n v="54"/>
    <x v="0"/>
  </r>
  <r>
    <x v="56"/>
    <s v="M"/>
    <x v="1"/>
    <n v="40000"/>
    <n v="0"/>
    <s v="Bachelors"/>
    <s v="Clerical"/>
    <s v="Yes"/>
    <n v="0"/>
    <s v="0-1 Miles"/>
    <s v="Europe"/>
    <n v="38"/>
    <x v="1"/>
  </r>
  <r>
    <x v="57"/>
    <s v="M"/>
    <x v="1"/>
    <n v="130000"/>
    <n v="4"/>
    <s v="Partial College"/>
    <s v="Professional"/>
    <s v="No"/>
    <n v="4"/>
    <s v="5-10 Miles"/>
    <s v="Europe"/>
    <n v="61"/>
    <x v="1"/>
  </r>
  <r>
    <x v="58"/>
    <s v="M"/>
    <x v="0"/>
    <n v="40000"/>
    <n v="1"/>
    <s v="Bachelors"/>
    <s v="Skilled Manual"/>
    <s v="Yes"/>
    <n v="0"/>
    <s v="0-1 Miles"/>
    <s v="Europe"/>
    <n v="43"/>
    <x v="1"/>
  </r>
  <r>
    <x v="59"/>
    <s v="M"/>
    <x v="1"/>
    <n v="60000"/>
    <n v="2"/>
    <s v="Bachelors"/>
    <s v="Professional"/>
    <s v="Yes"/>
    <n v="1"/>
    <s v="2-5 Miles"/>
    <s v="Pacific"/>
    <n v="38"/>
    <x v="1"/>
  </r>
  <r>
    <x v="60"/>
    <s v="S"/>
    <x v="0"/>
    <n v="10000"/>
    <n v="1"/>
    <s v="High School"/>
    <s v="Manual"/>
    <s v="No"/>
    <n v="1"/>
    <s v="1-2 Miles"/>
    <s v="Europe"/>
    <n v="45"/>
    <x v="0"/>
  </r>
  <r>
    <x v="61"/>
    <s v="S"/>
    <x v="0"/>
    <n v="10000"/>
    <n v="2"/>
    <s v="High School"/>
    <s v="Manual"/>
    <s v="Yes"/>
    <n v="0"/>
    <s v="0-1 Miles"/>
    <s v="Europe"/>
    <n v="35"/>
    <x v="0"/>
  </r>
  <r>
    <x v="62"/>
    <s v="M"/>
    <x v="1"/>
    <n v="40000"/>
    <n v="2"/>
    <s v="Bachelors"/>
    <s v="Management"/>
    <s v="Yes"/>
    <n v="1"/>
    <s v="0-1 Miles"/>
    <s v="Pacific"/>
    <n v="52"/>
    <x v="1"/>
  </r>
  <r>
    <x v="63"/>
    <s v="S"/>
    <x v="1"/>
    <n v="60000"/>
    <n v="4"/>
    <s v="Bachelors"/>
    <s v="Professional"/>
    <s v="Yes"/>
    <n v="3"/>
    <s v="10+ Miles"/>
    <s v="Pacific"/>
    <n v="41"/>
    <x v="0"/>
  </r>
  <r>
    <x v="64"/>
    <s v="M"/>
    <x v="0"/>
    <n v="30000"/>
    <n v="1"/>
    <s v="Bachelors"/>
    <s v="Clerical"/>
    <s v="Yes"/>
    <n v="0"/>
    <s v="0-1 Miles"/>
    <s v="Europe"/>
    <n v="37"/>
    <x v="1"/>
  </r>
  <r>
    <x v="65"/>
    <s v="S"/>
    <x v="1"/>
    <n v="30000"/>
    <n v="2"/>
    <s v="Partial College"/>
    <s v="Clerical"/>
    <s v="Yes"/>
    <n v="2"/>
    <s v="5-10 Miles"/>
    <s v="Pacific"/>
    <n v="68"/>
    <x v="0"/>
  </r>
  <r>
    <x v="66"/>
    <s v="M"/>
    <x v="0"/>
    <n v="40000"/>
    <n v="0"/>
    <s v="Graduate Degree"/>
    <s v="Clerical"/>
    <s v="Yes"/>
    <n v="0"/>
    <s v="0-1 Miles"/>
    <s v="Europe"/>
    <n v="37"/>
    <x v="1"/>
  </r>
  <r>
    <x v="67"/>
    <s v="S"/>
    <x v="1"/>
    <n v="30000"/>
    <n v="0"/>
    <s v="High School"/>
    <s v="Manual"/>
    <s v="Yes"/>
    <n v="1"/>
    <s v="2-5 Miles"/>
    <s v="Europe"/>
    <n v="33"/>
    <x v="1"/>
  </r>
  <r>
    <x v="68"/>
    <s v="S"/>
    <x v="0"/>
    <n v="20000"/>
    <n v="4"/>
    <s v="High School"/>
    <s v="Manual"/>
    <s v="Yes"/>
    <n v="1"/>
    <s v="0-1 Miles"/>
    <s v="Europe"/>
    <n v="43"/>
    <x v="1"/>
  </r>
  <r>
    <x v="69"/>
    <s v="M"/>
    <x v="0"/>
    <n v="10000"/>
    <n v="0"/>
    <s v="Partial High School"/>
    <s v="Manual"/>
    <s v="No"/>
    <n v="2"/>
    <s v="0-1 Miles"/>
    <s v="Europe"/>
    <n v="30"/>
    <x v="0"/>
  </r>
  <r>
    <x v="70"/>
    <s v="M"/>
    <x v="1"/>
    <n v="120000"/>
    <n v="0"/>
    <s v="Partial High School"/>
    <s v="Professional"/>
    <s v="Yes"/>
    <n v="4"/>
    <s v="10+ Miles"/>
    <s v="Pacific"/>
    <n v="36"/>
    <x v="1"/>
  </r>
  <r>
    <x v="71"/>
    <s v="S"/>
    <x v="0"/>
    <n v="10000"/>
    <n v="0"/>
    <s v="Partial High School"/>
    <s v="Manual"/>
    <s v="No"/>
    <n v="2"/>
    <s v="0-1 Miles"/>
    <s v="Europe"/>
    <n v="35"/>
    <x v="0"/>
  </r>
  <r>
    <x v="72"/>
    <s v="M"/>
    <x v="0"/>
    <n v="130000"/>
    <n v="3"/>
    <s v="High School"/>
    <s v="Professional"/>
    <s v="Yes"/>
    <n v="4"/>
    <s v="0-1 Miles"/>
    <s v="Europe"/>
    <n v="52"/>
    <x v="0"/>
  </r>
  <r>
    <x v="73"/>
    <s v="S"/>
    <x v="0"/>
    <n v="20000"/>
    <n v="0"/>
    <s v="Partial College"/>
    <s v="Manual"/>
    <s v="No"/>
    <n v="1"/>
    <s v="2-5 Miles"/>
    <s v="Europe"/>
    <n v="36"/>
    <x v="1"/>
  </r>
  <r>
    <x v="74"/>
    <s v="M"/>
    <x v="0"/>
    <n v="20000"/>
    <n v="3"/>
    <s v="High School"/>
    <s v="Skilled Manual"/>
    <s v="No"/>
    <n v="2"/>
    <s v="1-2 Miles"/>
    <s v="Pacific"/>
    <n v="62"/>
    <x v="0"/>
  </r>
  <r>
    <x v="75"/>
    <s v="S"/>
    <x v="0"/>
    <n v="130000"/>
    <n v="4"/>
    <s v="High School"/>
    <s v="Management"/>
    <s v="Yes"/>
    <n v="4"/>
    <s v="0-1 Miles"/>
    <s v="Pacific"/>
    <n v="31"/>
    <x v="0"/>
  </r>
  <r>
    <x v="76"/>
    <s v="S"/>
    <x v="0"/>
    <n v="20000"/>
    <n v="0"/>
    <s v="Partial High School"/>
    <s v="Manual"/>
    <s v="No"/>
    <n v="2"/>
    <s v="1-2 Miles"/>
    <s v="Europe"/>
    <n v="26"/>
    <x v="0"/>
  </r>
  <r>
    <x v="77"/>
    <s v="M"/>
    <x v="1"/>
    <n v="80000"/>
    <n v="0"/>
    <s v="Bachelors"/>
    <s v="Professional"/>
    <s v="Yes"/>
    <n v="2"/>
    <s v="10+ Miles"/>
    <s v="Pacific"/>
    <n v="29"/>
    <x v="1"/>
  </r>
  <r>
    <x v="78"/>
    <s v="M"/>
    <x v="1"/>
    <n v="80000"/>
    <n v="2"/>
    <s v="High School"/>
    <s v="Skilled Manual"/>
    <s v="No"/>
    <n v="2"/>
    <s v="1-2 Miles"/>
    <s v="Pacific"/>
    <n v="50"/>
    <x v="1"/>
  </r>
  <r>
    <x v="79"/>
    <s v="S"/>
    <x v="1"/>
    <n v="40000"/>
    <n v="2"/>
    <s v="Bachelors"/>
    <s v="Management"/>
    <s v="Yes"/>
    <n v="2"/>
    <s v="5-10 Miles"/>
    <s v="Pacific"/>
    <n v="63"/>
    <x v="1"/>
  </r>
  <r>
    <x v="80"/>
    <s v="M"/>
    <x v="0"/>
    <n v="30000"/>
    <n v="4"/>
    <s v="Graduate Degree"/>
    <s v="Clerical"/>
    <s v="Yes"/>
    <n v="0"/>
    <s v="0-1 Miles"/>
    <s v="Europe"/>
    <n v="45"/>
    <x v="1"/>
  </r>
  <r>
    <x v="81"/>
    <s v="S"/>
    <x v="0"/>
    <n v="10000"/>
    <n v="4"/>
    <s v="Partial High School"/>
    <s v="Manual"/>
    <s v="Yes"/>
    <n v="2"/>
    <s v="0-1 Miles"/>
    <s v="Europe"/>
    <n v="40"/>
    <x v="0"/>
  </r>
  <r>
    <x v="82"/>
    <s v="M"/>
    <x v="1"/>
    <n v="30000"/>
    <n v="0"/>
    <s v="Bachelors"/>
    <s v="Clerical"/>
    <s v="Yes"/>
    <n v="0"/>
    <s v="0-1 Miles"/>
    <s v="Europe"/>
    <n v="47"/>
    <x v="1"/>
  </r>
  <r>
    <x v="83"/>
    <s v="S"/>
    <x v="1"/>
    <n v="20000"/>
    <n v="0"/>
    <s v="High School"/>
    <s v="Manual"/>
    <s v="No"/>
    <n v="1"/>
    <s v="2-5 Miles"/>
    <s v="Europe"/>
    <n v="29"/>
    <x v="0"/>
  </r>
  <r>
    <x v="84"/>
    <s v="S"/>
    <x v="1"/>
    <n v="40000"/>
    <n v="2"/>
    <s v="Bachelors"/>
    <s v="Management"/>
    <s v="No"/>
    <n v="1"/>
    <s v="5-10 Miles"/>
    <s v="Pacific"/>
    <n v="52"/>
    <x v="1"/>
  </r>
  <r>
    <x v="85"/>
    <s v="S"/>
    <x v="1"/>
    <n v="10000"/>
    <n v="0"/>
    <s v="Partial College"/>
    <s v="Manual"/>
    <s v="Yes"/>
    <n v="1"/>
    <s v="1-2 Miles"/>
    <s v="Pacific"/>
    <n v="26"/>
    <x v="1"/>
  </r>
  <r>
    <x v="86"/>
    <s v="S"/>
    <x v="1"/>
    <n v="130000"/>
    <n v="3"/>
    <s v="Partial College"/>
    <s v="Professional"/>
    <s v="No"/>
    <n v="3"/>
    <s v="0-1 Miles"/>
    <s v="Europe"/>
    <n v="51"/>
    <x v="1"/>
  </r>
  <r>
    <x v="87"/>
    <s v="M"/>
    <x v="1"/>
    <n v="80000"/>
    <n v="5"/>
    <s v="Bachelors"/>
    <s v="Professional"/>
    <s v="Yes"/>
    <n v="4"/>
    <s v="1-2 Miles"/>
    <s v="Pacific"/>
    <n v="40"/>
    <x v="0"/>
  </r>
  <r>
    <x v="88"/>
    <s v="S"/>
    <x v="1"/>
    <n v="30000"/>
    <n v="0"/>
    <s v="Partial College"/>
    <s v="Clerical"/>
    <s v="No"/>
    <n v="1"/>
    <s v="2-5 Miles"/>
    <s v="Europe"/>
    <n v="29"/>
    <x v="0"/>
  </r>
  <r>
    <x v="89"/>
    <s v="M"/>
    <x v="1"/>
    <n v="20000"/>
    <n v="1"/>
    <s v="High School"/>
    <s v="Manual"/>
    <s v="No"/>
    <n v="1"/>
    <s v="1-2 Miles"/>
    <s v="Europe"/>
    <n v="40"/>
    <x v="1"/>
  </r>
  <r>
    <x v="90"/>
    <s v="S"/>
    <x v="0"/>
    <n v="30000"/>
    <n v="0"/>
    <s v="Partial College"/>
    <s v="Clerical"/>
    <s v="No"/>
    <n v="1"/>
    <s v="0-1 Miles"/>
    <s v="Europe"/>
    <n v="29"/>
    <x v="1"/>
  </r>
  <r>
    <x v="91"/>
    <s v="S"/>
    <x v="1"/>
    <n v="30000"/>
    <n v="0"/>
    <s v="Partial College"/>
    <s v="Clerical"/>
    <s v="No"/>
    <n v="1"/>
    <s v="0-1 Miles"/>
    <s v="Europe"/>
    <n v="30"/>
    <x v="1"/>
  </r>
  <r>
    <x v="92"/>
    <s v="S"/>
    <x v="0"/>
    <n v="60000"/>
    <n v="2"/>
    <s v="Bachelors"/>
    <s v="Professional"/>
    <s v="Yes"/>
    <n v="1"/>
    <s v="2-5 Miles"/>
    <s v="Pacific"/>
    <n v="37"/>
    <x v="1"/>
  </r>
  <r>
    <x v="93"/>
    <s v="S"/>
    <x v="0"/>
    <n v="30000"/>
    <n v="0"/>
    <s v="Partial College"/>
    <s v="Clerical"/>
    <s v="No"/>
    <n v="1"/>
    <s v="2-5 Miles"/>
    <s v="Europe"/>
    <n v="33"/>
    <x v="0"/>
  </r>
  <r>
    <x v="94"/>
    <s v="S"/>
    <x v="0"/>
    <n v="30000"/>
    <n v="3"/>
    <s v="High School"/>
    <s v="Skilled Manual"/>
    <s v="Yes"/>
    <n v="2"/>
    <s v="5-10 Miles"/>
    <s v="Pacific"/>
    <n v="55"/>
    <x v="0"/>
  </r>
  <r>
    <x v="95"/>
    <s v="S"/>
    <x v="0"/>
    <n v="90000"/>
    <n v="5"/>
    <s v="Partial College"/>
    <s v="Professional"/>
    <s v="Yes"/>
    <n v="2"/>
    <s v="10+ Miles"/>
    <s v="Europe"/>
    <n v="62"/>
    <x v="0"/>
  </r>
  <r>
    <x v="96"/>
    <s v="M"/>
    <x v="1"/>
    <n v="30000"/>
    <n v="1"/>
    <s v="Partial College"/>
    <s v="Clerical"/>
    <s v="Yes"/>
    <n v="1"/>
    <s v="0-1 Miles"/>
    <s v="Europe"/>
    <n v="43"/>
    <x v="0"/>
  </r>
  <r>
    <x v="97"/>
    <s v="M"/>
    <x v="1"/>
    <n v="40000"/>
    <n v="1"/>
    <s v="Bachelors"/>
    <s v="Skilled Manual"/>
    <s v="Yes"/>
    <n v="1"/>
    <s v="0-1 Miles"/>
    <s v="Europe"/>
    <n v="44"/>
    <x v="1"/>
  </r>
  <r>
    <x v="98"/>
    <s v="M"/>
    <x v="1"/>
    <n v="40000"/>
    <n v="0"/>
    <s v="Graduate Degree"/>
    <s v="Clerical"/>
    <s v="Yes"/>
    <n v="0"/>
    <s v="0-1 Miles"/>
    <s v="Europe"/>
    <n v="25"/>
    <x v="1"/>
  </r>
  <r>
    <x v="99"/>
    <s v="M"/>
    <x v="0"/>
    <n v="20000"/>
    <n v="3"/>
    <s v="High School"/>
    <s v="Manual"/>
    <s v="Yes"/>
    <n v="2"/>
    <s v="0-1 Miles"/>
    <s v="Europe"/>
    <n v="43"/>
    <x v="0"/>
  </r>
  <r>
    <x v="100"/>
    <s v="S"/>
    <x v="1"/>
    <n v="10000"/>
    <n v="2"/>
    <s v="High School"/>
    <s v="Manual"/>
    <s v="Yes"/>
    <n v="0"/>
    <s v="0-1 Miles"/>
    <s v="Europe"/>
    <n v="35"/>
    <x v="0"/>
  </r>
  <r>
    <x v="101"/>
    <s v="S"/>
    <x v="1"/>
    <n v="60000"/>
    <n v="3"/>
    <s v="Bachelors"/>
    <s v="Professional"/>
    <s v="No"/>
    <n v="2"/>
    <s v="0-1 Miles"/>
    <s v="Pacific"/>
    <n v="43"/>
    <x v="1"/>
  </r>
  <r>
    <x v="102"/>
    <s v="M"/>
    <x v="1"/>
    <n v="10000"/>
    <n v="2"/>
    <s v="Partial College"/>
    <s v="Manual"/>
    <s v="Yes"/>
    <n v="0"/>
    <s v="1-2 Miles"/>
    <s v="Europe"/>
    <n v="49"/>
    <x v="0"/>
  </r>
  <r>
    <x v="103"/>
    <s v="S"/>
    <x v="1"/>
    <n v="60000"/>
    <n v="1"/>
    <s v="Partial College"/>
    <s v="Skilled Manual"/>
    <s v="Yes"/>
    <n v="1"/>
    <s v="5-10 Miles"/>
    <s v="Pacific"/>
    <n v="45"/>
    <x v="0"/>
  </r>
  <r>
    <x v="104"/>
    <s v="S"/>
    <x v="0"/>
    <n v="70000"/>
    <n v="2"/>
    <s v="High School"/>
    <s v="Professional"/>
    <s v="Yes"/>
    <n v="2"/>
    <s v="5-10 Miles"/>
    <s v="Pacific"/>
    <n v="49"/>
    <x v="1"/>
  </r>
  <r>
    <x v="105"/>
    <s v="S"/>
    <x v="0"/>
    <n v="30000"/>
    <n v="0"/>
    <s v="Partial College"/>
    <s v="Clerical"/>
    <s v="No"/>
    <n v="1"/>
    <s v="2-5 Miles"/>
    <s v="Europe"/>
    <n v="30"/>
    <x v="0"/>
  </r>
  <r>
    <x v="106"/>
    <s v="M"/>
    <x v="1"/>
    <n v="70000"/>
    <n v="2"/>
    <s v="Partial College"/>
    <s v="Skilled Manual"/>
    <s v="Yes"/>
    <n v="2"/>
    <s v="5-10 Miles"/>
    <s v="Pacific"/>
    <n v="52"/>
    <x v="1"/>
  </r>
  <r>
    <x v="107"/>
    <s v="S"/>
    <x v="0"/>
    <n v="40000"/>
    <n v="2"/>
    <s v="Partial College"/>
    <s v="Skilled Manual"/>
    <s v="No"/>
    <n v="2"/>
    <s v="1-2 Miles"/>
    <s v="Pacific"/>
    <n v="53"/>
    <x v="1"/>
  </r>
  <r>
    <x v="108"/>
    <s v="M"/>
    <x v="0"/>
    <n v="40000"/>
    <n v="0"/>
    <s v="Bachelors"/>
    <s v="Clerical"/>
    <s v="Yes"/>
    <n v="0"/>
    <s v="0-1 Miles"/>
    <s v="Europe"/>
    <n v="38"/>
    <x v="1"/>
  </r>
  <r>
    <x v="109"/>
    <s v="S"/>
    <x v="1"/>
    <n v="40000"/>
    <n v="0"/>
    <s v="Bachelors"/>
    <s v="Professional"/>
    <s v="No"/>
    <n v="0"/>
    <s v="0-1 Miles"/>
    <s v="Europe"/>
    <n v="39"/>
    <x v="1"/>
  </r>
  <r>
    <x v="110"/>
    <s v="S"/>
    <x v="0"/>
    <n v="30000"/>
    <n v="1"/>
    <s v="Partial College"/>
    <s v="Manual"/>
    <s v="No"/>
    <n v="0"/>
    <s v="0-1 Miles"/>
    <s v="Europe"/>
    <n v="46"/>
    <x v="1"/>
  </r>
  <r>
    <x v="111"/>
    <s v="S"/>
    <x v="0"/>
    <n v="70000"/>
    <n v="0"/>
    <s v="Bachelors"/>
    <s v="Professional"/>
    <s v="No"/>
    <n v="1"/>
    <s v="5-10 Miles"/>
    <s v="Pacific"/>
    <n v="38"/>
    <x v="0"/>
  </r>
  <r>
    <x v="112"/>
    <s v="S"/>
    <x v="0"/>
    <n v="40000"/>
    <n v="2"/>
    <s v="Partial College"/>
    <s v="Clerical"/>
    <s v="Yes"/>
    <n v="2"/>
    <s v="1-2 Miles"/>
    <s v="Europe"/>
    <n v="35"/>
    <x v="0"/>
  </r>
  <r>
    <x v="113"/>
    <s v="S"/>
    <x v="0"/>
    <n v="130000"/>
    <n v="1"/>
    <s v="Graduate Degree"/>
    <s v="Management"/>
    <s v="No"/>
    <n v="1"/>
    <s v="0-1 Miles"/>
    <s v="Pacific"/>
    <n v="36"/>
    <x v="1"/>
  </r>
  <r>
    <x v="114"/>
    <s v="M"/>
    <x v="1"/>
    <n v="20000"/>
    <n v="0"/>
    <s v="Bachelors"/>
    <s v="Clerical"/>
    <s v="Yes"/>
    <n v="0"/>
    <s v="0-1 Miles"/>
    <s v="Pacific"/>
    <n v="26"/>
    <x v="1"/>
  </r>
  <r>
    <x v="115"/>
    <s v="S"/>
    <x v="1"/>
    <n v="10000"/>
    <n v="0"/>
    <s v="Graduate Degree"/>
    <s v="Manual"/>
    <s v="No"/>
    <n v="0"/>
    <s v="0-1 Miles"/>
    <s v="Europe"/>
    <n v="30"/>
    <x v="1"/>
  </r>
  <r>
    <x v="116"/>
    <s v="M"/>
    <x v="0"/>
    <n v="30000"/>
    <n v="1"/>
    <s v="Bachelors"/>
    <s v="Skilled Manual"/>
    <s v="Yes"/>
    <n v="2"/>
    <s v="0-1 Miles"/>
    <s v="Europe"/>
    <n v="42"/>
    <x v="0"/>
  </r>
  <r>
    <x v="117"/>
    <s v="S"/>
    <x v="0"/>
    <n v="20000"/>
    <n v="0"/>
    <s v="High School"/>
    <s v="Manual"/>
    <s v="Yes"/>
    <n v="0"/>
    <s v="0-1 Miles"/>
    <s v="Europe"/>
    <n v="40"/>
    <x v="1"/>
  </r>
  <r>
    <x v="118"/>
    <s v="M"/>
    <x v="1"/>
    <n v="80000"/>
    <n v="5"/>
    <s v="Bachelors"/>
    <s v="Management"/>
    <s v="Yes"/>
    <n v="2"/>
    <s v="2-5 Miles"/>
    <s v="Europe"/>
    <n v="62"/>
    <x v="0"/>
  </r>
  <r>
    <x v="119"/>
    <s v="S"/>
    <x v="0"/>
    <n v="30000"/>
    <n v="0"/>
    <s v="Partial College"/>
    <s v="Clerical"/>
    <s v="No"/>
    <n v="1"/>
    <s v="2-5 Miles"/>
    <s v="Europe"/>
    <n v="29"/>
    <x v="0"/>
  </r>
  <r>
    <x v="120"/>
    <s v="M"/>
    <x v="0"/>
    <n v="40000"/>
    <n v="2"/>
    <s v="Bachelors"/>
    <s v="Management"/>
    <s v="Yes"/>
    <n v="2"/>
    <s v="5-10 Miles"/>
    <s v="Pacific"/>
    <n v="66"/>
    <x v="1"/>
  </r>
  <r>
    <x v="121"/>
    <s v="M"/>
    <x v="1"/>
    <n v="150000"/>
    <n v="2"/>
    <s v="High School"/>
    <s v="Professional"/>
    <s v="Yes"/>
    <n v="4"/>
    <s v="0-1 Miles"/>
    <s v="Europe"/>
    <n v="48"/>
    <x v="0"/>
  </r>
  <r>
    <x v="122"/>
    <s v="S"/>
    <x v="0"/>
    <n v="80000"/>
    <n v="0"/>
    <s v="Bachelors"/>
    <s v="Professional"/>
    <s v="No"/>
    <n v="3"/>
    <s v="10+ Miles"/>
    <s v="Pacific"/>
    <n v="31"/>
    <x v="0"/>
  </r>
  <r>
    <x v="123"/>
    <s v="S"/>
    <x v="0"/>
    <n v="100000"/>
    <n v="3"/>
    <s v="Partial College"/>
    <s v="Management"/>
    <s v="No"/>
    <n v="4"/>
    <s v="5-10 Miles"/>
    <s v="Europe"/>
    <n v="56"/>
    <x v="0"/>
  </r>
  <r>
    <x v="124"/>
    <s v="S"/>
    <x v="0"/>
    <n v="40000"/>
    <n v="0"/>
    <s v="Bachelors"/>
    <s v="Clerical"/>
    <s v="No"/>
    <n v="0"/>
    <s v="0-1 Miles"/>
    <s v="Europe"/>
    <n v="38"/>
    <x v="1"/>
  </r>
  <r>
    <x v="125"/>
    <s v="M"/>
    <x v="1"/>
    <n v="80000"/>
    <n v="5"/>
    <s v="Bachelors"/>
    <s v="Professional"/>
    <s v="Yes"/>
    <n v="4"/>
    <s v="1-2 Miles"/>
    <s v="Pacific"/>
    <n v="40"/>
    <x v="0"/>
  </r>
  <r>
    <x v="126"/>
    <s v="S"/>
    <x v="1"/>
    <n v="30000"/>
    <n v="0"/>
    <s v="Partial College"/>
    <s v="Clerical"/>
    <s v="Yes"/>
    <n v="1"/>
    <s v="2-5 Miles"/>
    <s v="Europe"/>
    <n v="32"/>
    <x v="0"/>
  </r>
  <r>
    <x v="127"/>
    <s v="M"/>
    <x v="1"/>
    <n v="30000"/>
    <n v="1"/>
    <s v="Bachelors"/>
    <s v="Clerical"/>
    <s v="Yes"/>
    <n v="1"/>
    <s v="2-5 Miles"/>
    <s v="Europe"/>
    <n v="39"/>
    <x v="0"/>
  </r>
  <r>
    <x v="128"/>
    <s v="S"/>
    <x v="1"/>
    <n v="10000"/>
    <n v="2"/>
    <s v="Partial College"/>
    <s v="Manual"/>
    <s v="Yes"/>
    <n v="1"/>
    <s v="0-1 Miles"/>
    <s v="Europe"/>
    <n v="52"/>
    <x v="1"/>
  </r>
  <r>
    <x v="129"/>
    <s v="S"/>
    <x v="1"/>
    <n v="10000"/>
    <n v="3"/>
    <s v="High School"/>
    <s v="Manual"/>
    <s v="Yes"/>
    <n v="1"/>
    <s v="0-1 Miles"/>
    <s v="Europe"/>
    <n v="39"/>
    <x v="1"/>
  </r>
  <r>
    <x v="130"/>
    <s v="M"/>
    <x v="1"/>
    <n v="60000"/>
    <n v="2"/>
    <s v="Bachelors"/>
    <s v="Professional"/>
    <s v="Yes"/>
    <n v="1"/>
    <s v="2-5 Miles"/>
    <s v="Pacific"/>
    <n v="37"/>
    <x v="0"/>
  </r>
  <r>
    <x v="131"/>
    <s v="M"/>
    <x v="1"/>
    <n v="90000"/>
    <n v="4"/>
    <s v="High School"/>
    <s v="Management"/>
    <s v="Yes"/>
    <n v="3"/>
    <s v="5-10 Miles"/>
    <s v="Europe"/>
    <n v="56"/>
    <x v="1"/>
  </r>
  <r>
    <x v="132"/>
    <s v="M"/>
    <x v="1"/>
    <n v="40000"/>
    <n v="0"/>
    <s v="Bachelors"/>
    <s v="Professional"/>
    <s v="Yes"/>
    <n v="0"/>
    <s v="0-1 Miles"/>
    <s v="Europe"/>
    <n v="40"/>
    <x v="1"/>
  </r>
  <r>
    <x v="133"/>
    <s v="S"/>
    <x v="1"/>
    <n v="40000"/>
    <n v="2"/>
    <s v="Bachelors"/>
    <s v="Management"/>
    <s v="Yes"/>
    <n v="2"/>
    <s v="5-10 Miles"/>
    <s v="Pacific"/>
    <n v="65"/>
    <x v="1"/>
  </r>
  <r>
    <x v="134"/>
    <s v="S"/>
    <x v="0"/>
    <n v="30000"/>
    <n v="2"/>
    <s v="Partial College"/>
    <s v="Clerical"/>
    <s v="Yes"/>
    <n v="2"/>
    <s v="0-1 Miles"/>
    <s v="Europe"/>
    <n v="42"/>
    <x v="0"/>
  </r>
  <r>
    <x v="135"/>
    <s v="M"/>
    <x v="1"/>
    <n v="10000"/>
    <n v="2"/>
    <s v="Partial College"/>
    <s v="Manual"/>
    <s v="Yes"/>
    <n v="1"/>
    <s v="2-5 Miles"/>
    <s v="Europe"/>
    <n v="52"/>
    <x v="0"/>
  </r>
  <r>
    <x v="136"/>
    <s v="S"/>
    <x v="0"/>
    <n v="10000"/>
    <n v="1"/>
    <s v="High School"/>
    <s v="Manual"/>
    <s v="No"/>
    <n v="1"/>
    <s v="5-10 Miles"/>
    <s v="Europe"/>
    <n v="35"/>
    <x v="1"/>
  </r>
  <r>
    <x v="137"/>
    <s v="S"/>
    <x v="1"/>
    <n v="20000"/>
    <n v="2"/>
    <s v="High School"/>
    <s v="Manual"/>
    <s v="Yes"/>
    <n v="2"/>
    <s v="0-1 Miles"/>
    <s v="Europe"/>
    <n v="42"/>
    <x v="0"/>
  </r>
  <r>
    <x v="138"/>
    <s v="M"/>
    <x v="0"/>
    <n v="20000"/>
    <n v="2"/>
    <s v="Partial High School"/>
    <s v="Clerical"/>
    <s v="Yes"/>
    <n v="2"/>
    <s v="5-10 Miles"/>
    <s v="Pacific"/>
    <n v="55"/>
    <x v="1"/>
  </r>
  <r>
    <x v="139"/>
    <s v="S"/>
    <x v="0"/>
    <n v="30000"/>
    <n v="2"/>
    <s v="Partial College"/>
    <s v="Clerical"/>
    <s v="No"/>
    <n v="2"/>
    <s v="5-10 Miles"/>
    <s v="Pacific"/>
    <n v="60"/>
    <x v="1"/>
  </r>
  <r>
    <x v="140"/>
    <s v="S"/>
    <x v="1"/>
    <n v="40000"/>
    <n v="0"/>
    <s v="Bachelors"/>
    <s v="Professional"/>
    <s v="No"/>
    <n v="0"/>
    <s v="0-1 Miles"/>
    <s v="Europe"/>
    <n v="40"/>
    <x v="1"/>
  </r>
  <r>
    <x v="141"/>
    <s v="S"/>
    <x v="0"/>
    <n v="10000"/>
    <n v="0"/>
    <s v="Partial College"/>
    <s v="Manual"/>
    <s v="No"/>
    <n v="1"/>
    <s v="0-1 Miles"/>
    <s v="Pacific"/>
    <n v="26"/>
    <x v="1"/>
  </r>
  <r>
    <x v="142"/>
    <s v="M"/>
    <x v="1"/>
    <n v="40000"/>
    <n v="1"/>
    <s v="Bachelors"/>
    <s v="Skilled Manual"/>
    <s v="Yes"/>
    <n v="0"/>
    <s v="0-1 Miles"/>
    <s v="Europe"/>
    <n v="42"/>
    <x v="1"/>
  </r>
  <r>
    <x v="143"/>
    <s v="M"/>
    <x v="0"/>
    <n v="80000"/>
    <n v="0"/>
    <s v="Bachelors"/>
    <s v="Professional"/>
    <s v="Yes"/>
    <n v="3"/>
    <s v="10+ Miles"/>
    <s v="Pacific"/>
    <n v="32"/>
    <x v="0"/>
  </r>
  <r>
    <x v="144"/>
    <s v="S"/>
    <x v="1"/>
    <n v="30000"/>
    <n v="1"/>
    <s v="Bachelors"/>
    <s v="Clerical"/>
    <s v="Yes"/>
    <n v="0"/>
    <s v="1-2 Miles"/>
    <s v="Europe"/>
    <n v="37"/>
    <x v="1"/>
  </r>
  <r>
    <x v="145"/>
    <s v="M"/>
    <x v="0"/>
    <n v="40000"/>
    <n v="2"/>
    <s v="Partial College"/>
    <s v="Clerical"/>
    <s v="No"/>
    <n v="1"/>
    <s v="0-1 Miles"/>
    <s v="Europe"/>
    <n v="34"/>
    <x v="0"/>
  </r>
  <r>
    <x v="146"/>
    <s v="M"/>
    <x v="1"/>
    <n v="40000"/>
    <n v="0"/>
    <s v="Graduate Degree"/>
    <s v="Clerical"/>
    <s v="Yes"/>
    <n v="0"/>
    <s v="0-1 Miles"/>
    <s v="Europe"/>
    <n v="37"/>
    <x v="1"/>
  </r>
  <r>
    <x v="147"/>
    <s v="M"/>
    <x v="0"/>
    <n v="40000"/>
    <n v="0"/>
    <s v="Bachelors"/>
    <s v="Professional"/>
    <s v="No"/>
    <n v="0"/>
    <s v="0-1 Miles"/>
    <s v="Europe"/>
    <n v="40"/>
    <x v="1"/>
  </r>
  <r>
    <x v="148"/>
    <s v="M"/>
    <x v="1"/>
    <n v="20000"/>
    <n v="4"/>
    <s v="High School"/>
    <s v="Skilled Manual"/>
    <s v="Yes"/>
    <n v="2"/>
    <s v="5-10 Miles"/>
    <s v="Pacific"/>
    <n v="60"/>
    <x v="0"/>
  </r>
  <r>
    <x v="149"/>
    <s v="S"/>
    <x v="1"/>
    <n v="30000"/>
    <n v="0"/>
    <s v="Partial College"/>
    <s v="Clerical"/>
    <s v="No"/>
    <n v="1"/>
    <s v="1-2 Miles"/>
    <s v="Europe"/>
    <n v="27"/>
    <x v="0"/>
  </r>
  <r>
    <x v="150"/>
    <s v="M"/>
    <x v="1"/>
    <n v="60000"/>
    <n v="1"/>
    <s v="Partial College"/>
    <s v="Skilled Manual"/>
    <s v="Yes"/>
    <n v="1"/>
    <s v="5-10 Miles"/>
    <s v="Pacific"/>
    <n v="43"/>
    <x v="1"/>
  </r>
  <r>
    <x v="151"/>
    <s v="S"/>
    <x v="1"/>
    <n v="100000"/>
    <n v="1"/>
    <s v="Bachelors"/>
    <s v="Management"/>
    <s v="No"/>
    <n v="3"/>
    <s v="0-1 Miles"/>
    <s v="Pacific"/>
    <n v="48"/>
    <x v="0"/>
  </r>
  <r>
    <x v="152"/>
    <s v="S"/>
    <x v="0"/>
    <n v="20000"/>
    <n v="0"/>
    <s v="Partial High School"/>
    <s v="Manual"/>
    <s v="No"/>
    <n v="2"/>
    <s v="1-2 Miles"/>
    <s v="Europe"/>
    <n v="32"/>
    <x v="0"/>
  </r>
  <r>
    <x v="153"/>
    <s v="M"/>
    <x v="1"/>
    <n v="100000"/>
    <n v="1"/>
    <s v="Bachelors"/>
    <s v="Management"/>
    <s v="Yes"/>
    <n v="3"/>
    <s v="2-5 Miles"/>
    <s v="Pacific"/>
    <n v="47"/>
    <x v="0"/>
  </r>
  <r>
    <x v="154"/>
    <s v="S"/>
    <x v="1"/>
    <n v="80000"/>
    <n v="5"/>
    <s v="Graduate Degree"/>
    <s v="Management"/>
    <s v="Yes"/>
    <n v="3"/>
    <s v="0-1 Miles"/>
    <s v="Pacific"/>
    <n v="40"/>
    <x v="0"/>
  </r>
  <r>
    <x v="155"/>
    <s v="S"/>
    <x v="0"/>
    <n v="10000"/>
    <n v="4"/>
    <s v="Partial High School"/>
    <s v="Manual"/>
    <s v="Yes"/>
    <n v="2"/>
    <s v="0-1 Miles"/>
    <s v="Europe"/>
    <n v="41"/>
    <x v="1"/>
  </r>
  <r>
    <x v="156"/>
    <s v="M"/>
    <x v="0"/>
    <n v="130000"/>
    <n v="5"/>
    <s v="Partial College"/>
    <s v="Professional"/>
    <s v="Yes"/>
    <n v="4"/>
    <s v="0-1 Miles"/>
    <s v="Europe"/>
    <n v="59"/>
    <x v="0"/>
  </r>
  <r>
    <x v="157"/>
    <s v="S"/>
    <x v="1"/>
    <n v="10000"/>
    <n v="2"/>
    <s v="Partial College"/>
    <s v="Manual"/>
    <s v="No"/>
    <n v="0"/>
    <s v="0-1 Miles"/>
    <s v="Europe"/>
    <n v="50"/>
    <x v="0"/>
  </r>
  <r>
    <x v="158"/>
    <s v="S"/>
    <x v="0"/>
    <n v="20000"/>
    <n v="2"/>
    <s v="Partial College"/>
    <s v="Manual"/>
    <s v="No"/>
    <n v="1"/>
    <s v="0-1 Miles"/>
    <s v="Europe"/>
    <n v="54"/>
    <x v="1"/>
  </r>
  <r>
    <x v="159"/>
    <s v="M"/>
    <x v="0"/>
    <n v="10000"/>
    <n v="1"/>
    <s v="Bachelors"/>
    <s v="Manual"/>
    <s v="Yes"/>
    <n v="0"/>
    <s v="0-1 Miles"/>
    <s v="Europe"/>
    <n v="48"/>
    <x v="0"/>
  </r>
  <r>
    <x v="160"/>
    <s v="S"/>
    <x v="0"/>
    <n v="60000"/>
    <n v="1"/>
    <s v="Bachelors"/>
    <s v="Professional"/>
    <s v="Yes"/>
    <n v="1"/>
    <s v="5-10 Miles"/>
    <s v="Pacific"/>
    <n v="44"/>
    <x v="1"/>
  </r>
  <r>
    <x v="161"/>
    <s v="M"/>
    <x v="0"/>
    <n v="20000"/>
    <n v="2"/>
    <s v="High School"/>
    <s v="Manual"/>
    <s v="Yes"/>
    <n v="0"/>
    <s v="0-1 Miles"/>
    <s v="Europe"/>
    <n v="40"/>
    <x v="1"/>
  </r>
  <r>
    <x v="162"/>
    <s v="S"/>
    <x v="0"/>
    <n v="60000"/>
    <n v="2"/>
    <s v="Bachelors"/>
    <s v="Professional"/>
    <s v="No"/>
    <n v="1"/>
    <s v="0-1 Miles"/>
    <s v="Pacific"/>
    <n v="38"/>
    <x v="1"/>
  </r>
  <r>
    <x v="163"/>
    <s v="S"/>
    <x v="1"/>
    <n v="40000"/>
    <n v="2"/>
    <s v="Partial College"/>
    <s v="Skilled Manual"/>
    <s v="No"/>
    <n v="2"/>
    <s v="1-2 Miles"/>
    <s v="Pacific"/>
    <n v="52"/>
    <x v="0"/>
  </r>
  <r>
    <x v="164"/>
    <s v="M"/>
    <x v="1"/>
    <n v="10000"/>
    <n v="0"/>
    <s v="Partial College"/>
    <s v="Manual"/>
    <s v="Yes"/>
    <n v="1"/>
    <s v="2-5 Miles"/>
    <s v="Pacific"/>
    <n v="25"/>
    <x v="1"/>
  </r>
  <r>
    <x v="165"/>
    <s v="M"/>
    <x v="0"/>
    <n v="10000"/>
    <n v="0"/>
    <s v="Partial College"/>
    <s v="Manual"/>
    <s v="No"/>
    <n v="1"/>
    <s v="0-1 Miles"/>
    <s v="Pacific"/>
    <n v="25"/>
    <x v="0"/>
  </r>
  <r>
    <x v="166"/>
    <s v="S"/>
    <x v="1"/>
    <n v="90000"/>
    <n v="1"/>
    <s v="Bachelors"/>
    <s v="Professional"/>
    <s v="Yes"/>
    <n v="1"/>
    <s v="2-5 Miles"/>
    <s v="Pacific"/>
    <n v="47"/>
    <x v="1"/>
  </r>
  <r>
    <x v="167"/>
    <s v="S"/>
    <x v="1"/>
    <n v="100000"/>
    <n v="0"/>
    <s v="High School"/>
    <s v="Management"/>
    <s v="Yes"/>
    <n v="3"/>
    <s v="10+ Miles"/>
    <s v="Pacific"/>
    <n v="35"/>
    <x v="0"/>
  </r>
  <r>
    <x v="168"/>
    <s v="S"/>
    <x v="1"/>
    <n v="70000"/>
    <n v="0"/>
    <s v="Bachelors"/>
    <s v="Professional"/>
    <s v="No"/>
    <n v="1"/>
    <s v="5-10 Miles"/>
    <s v="Pacific"/>
    <n v="41"/>
    <x v="1"/>
  </r>
  <r>
    <x v="169"/>
    <s v="M"/>
    <x v="1"/>
    <n v="30000"/>
    <n v="1"/>
    <s v="Bachelors"/>
    <s v="Clerical"/>
    <s v="Yes"/>
    <n v="0"/>
    <s v="0-1 Miles"/>
    <s v="Europe"/>
    <n v="47"/>
    <x v="0"/>
  </r>
  <r>
    <x v="170"/>
    <s v="M"/>
    <x v="0"/>
    <n v="130000"/>
    <n v="4"/>
    <s v="Partial College"/>
    <s v="Professional"/>
    <s v="Yes"/>
    <n v="4"/>
    <s v="5-10 Miles"/>
    <s v="Europe"/>
    <n v="61"/>
    <x v="1"/>
  </r>
  <r>
    <x v="171"/>
    <s v="M"/>
    <x v="0"/>
    <n v="80000"/>
    <n v="5"/>
    <s v="Bachelors"/>
    <s v="Management"/>
    <s v="Yes"/>
    <n v="2"/>
    <s v="2-5 Miles"/>
    <s v="Europe"/>
    <n v="61"/>
    <x v="0"/>
  </r>
  <r>
    <x v="172"/>
    <s v="M"/>
    <x v="1"/>
    <n v="10000"/>
    <n v="0"/>
    <s v="Partial High School"/>
    <s v="Manual"/>
    <s v="No"/>
    <n v="2"/>
    <s v="0-1 Miles"/>
    <s v="Europe"/>
    <n v="33"/>
    <x v="0"/>
  </r>
  <r>
    <x v="173"/>
    <s v="M"/>
    <x v="0"/>
    <n v="10000"/>
    <n v="0"/>
    <s v="Partial College"/>
    <s v="Manual"/>
    <s v="Yes"/>
    <n v="1"/>
    <s v="2-5 Miles"/>
    <s v="Pacific"/>
    <n v="27"/>
    <x v="0"/>
  </r>
  <r>
    <x v="174"/>
    <s v="S"/>
    <x v="1"/>
    <n v="50000"/>
    <n v="0"/>
    <s v="Graduate Degree"/>
    <s v="Skilled Manual"/>
    <s v="Yes"/>
    <n v="0"/>
    <s v="0-1 Miles"/>
    <s v="Europe"/>
    <n v="37"/>
    <x v="1"/>
  </r>
  <r>
    <x v="175"/>
    <s v="S"/>
    <x v="0"/>
    <n v="80000"/>
    <n v="2"/>
    <s v="Partial College"/>
    <s v="Skilled Manual"/>
    <s v="Yes"/>
    <n v="2"/>
    <s v="5-10 Miles"/>
    <s v="Pacific"/>
    <n v="52"/>
    <x v="1"/>
  </r>
  <r>
    <x v="176"/>
    <s v="S"/>
    <x v="0"/>
    <n v="20000"/>
    <n v="0"/>
    <s v="Partial College"/>
    <s v="Manual"/>
    <s v="Yes"/>
    <n v="0"/>
    <s v="0-1 Miles"/>
    <s v="Pacific"/>
    <n v="29"/>
    <x v="1"/>
  </r>
  <r>
    <x v="177"/>
    <s v="S"/>
    <x v="0"/>
    <n v="110000"/>
    <n v="2"/>
    <s v="Partial College"/>
    <s v="Professional"/>
    <s v="No"/>
    <n v="3"/>
    <s v="5-10 Miles"/>
    <s v="Europe"/>
    <n v="48"/>
    <x v="0"/>
  </r>
  <r>
    <x v="178"/>
    <s v="M"/>
    <x v="1"/>
    <n v="160000"/>
    <n v="4"/>
    <s v="Partial College"/>
    <s v="Professional"/>
    <s v="No"/>
    <n v="2"/>
    <s v="10+ Miles"/>
    <s v="Europe"/>
    <n v="55"/>
    <x v="1"/>
  </r>
  <r>
    <x v="179"/>
    <s v="M"/>
    <x v="0"/>
    <n v="10000"/>
    <n v="0"/>
    <s v="Graduate Degree"/>
    <s v="Manual"/>
    <s v="Yes"/>
    <n v="0"/>
    <s v="0-1 Miles"/>
    <s v="Europe"/>
    <n v="37"/>
    <x v="1"/>
  </r>
  <r>
    <x v="180"/>
    <s v="S"/>
    <x v="1"/>
    <n v="10000"/>
    <n v="1"/>
    <s v="Graduate Degree"/>
    <s v="Manual"/>
    <s v="Yes"/>
    <n v="0"/>
    <s v="0-1 Miles"/>
    <s v="Europe"/>
    <n v="44"/>
    <x v="0"/>
  </r>
  <r>
    <x v="181"/>
    <s v="M"/>
    <x v="0"/>
    <n v="30000"/>
    <n v="3"/>
    <s v="Partial College"/>
    <s v="Clerical"/>
    <s v="No"/>
    <n v="2"/>
    <s v="1-2 Miles"/>
    <s v="Pacific"/>
    <n v="55"/>
    <x v="1"/>
  </r>
  <r>
    <x v="182"/>
    <s v="M"/>
    <x v="0"/>
    <n v="10000"/>
    <n v="2"/>
    <s v="High School"/>
    <s v="Manual"/>
    <s v="No"/>
    <n v="1"/>
    <s v="0-1 Miles"/>
    <s v="Europe"/>
    <n v="38"/>
    <x v="0"/>
  </r>
  <r>
    <x v="183"/>
    <s v="S"/>
    <x v="1"/>
    <n v="40000"/>
    <n v="2"/>
    <s v="Bachelors"/>
    <s v="Management"/>
    <s v="Yes"/>
    <n v="2"/>
    <s v="5-10 Miles"/>
    <s v="Pacific"/>
    <n v="66"/>
    <x v="1"/>
  </r>
  <r>
    <x v="184"/>
    <s v="M"/>
    <x v="0"/>
    <n v="130000"/>
    <n v="4"/>
    <s v="High School"/>
    <s v="Management"/>
    <s v="No"/>
    <n v="4"/>
    <s v="10+ Miles"/>
    <s v="Europe"/>
    <n v="58"/>
    <x v="0"/>
  </r>
  <r>
    <x v="185"/>
    <s v="M"/>
    <x v="0"/>
    <n v="90000"/>
    <n v="1"/>
    <s v="Bachelors"/>
    <s v="Professional"/>
    <s v="Yes"/>
    <n v="1"/>
    <s v="2-5 Miles"/>
    <s v="Pacific"/>
    <n v="47"/>
    <x v="1"/>
  </r>
  <r>
    <x v="186"/>
    <s v="M"/>
    <x v="0"/>
    <n v="30000"/>
    <n v="3"/>
    <s v="High School"/>
    <s v="Skilled Manual"/>
    <s v="No"/>
    <n v="2"/>
    <s v="1-2 Miles"/>
    <s v="Pacific"/>
    <n v="56"/>
    <x v="1"/>
  </r>
  <r>
    <x v="187"/>
    <s v="S"/>
    <x v="1"/>
    <n v="80000"/>
    <n v="5"/>
    <s v="Partial College"/>
    <s v="Professional"/>
    <s v="No"/>
    <n v="2"/>
    <s v="10+ Miles"/>
    <s v="Europe"/>
    <n v="59"/>
    <x v="0"/>
  </r>
  <r>
    <x v="188"/>
    <s v="M"/>
    <x v="0"/>
    <n v="70000"/>
    <n v="0"/>
    <s v="Bachelors"/>
    <s v="Professional"/>
    <s v="Yes"/>
    <n v="4"/>
    <s v="10+ Miles"/>
    <s v="Pacific"/>
    <n v="32"/>
    <x v="1"/>
  </r>
  <r>
    <x v="189"/>
    <s v="M"/>
    <x v="1"/>
    <n v="30000"/>
    <n v="1"/>
    <s v="Partial College"/>
    <s v="Clerical"/>
    <s v="Yes"/>
    <n v="1"/>
    <s v="0-1 Miles"/>
    <s v="Europe"/>
    <n v="44"/>
    <x v="1"/>
  </r>
  <r>
    <x v="190"/>
    <s v="M"/>
    <x v="1"/>
    <n v="30000"/>
    <n v="3"/>
    <s v="High School"/>
    <s v="Skilled Manual"/>
    <s v="Yes"/>
    <n v="2"/>
    <s v="5-10 Miles"/>
    <s v="Pacific"/>
    <n v="55"/>
    <x v="0"/>
  </r>
  <r>
    <x v="191"/>
    <s v="S"/>
    <x v="1"/>
    <n v="90000"/>
    <n v="2"/>
    <s v="High School"/>
    <s v="Manual"/>
    <s v="Yes"/>
    <n v="0"/>
    <s v="0-1 Miles"/>
    <s v="Europe"/>
    <n v="36"/>
    <x v="1"/>
  </r>
  <r>
    <x v="192"/>
    <s v="S"/>
    <x v="0"/>
    <n v="80000"/>
    <n v="5"/>
    <s v="Bachelors"/>
    <s v="Management"/>
    <s v="Yes"/>
    <n v="2"/>
    <s v="10+ Miles"/>
    <s v="Europe"/>
    <n v="62"/>
    <x v="0"/>
  </r>
  <r>
    <x v="193"/>
    <s v="M"/>
    <x v="0"/>
    <n v="70000"/>
    <n v="5"/>
    <s v="Bachelors"/>
    <s v="Professional"/>
    <s v="Yes"/>
    <n v="4"/>
    <s v="10+ Miles"/>
    <s v="Pacific"/>
    <n v="41"/>
    <x v="0"/>
  </r>
  <r>
    <x v="194"/>
    <s v="S"/>
    <x v="0"/>
    <n v="10000"/>
    <n v="0"/>
    <s v="Partial High School"/>
    <s v="Manual"/>
    <s v="No"/>
    <n v="2"/>
    <s v="0-1 Miles"/>
    <s v="Europe"/>
    <n v="32"/>
    <x v="0"/>
  </r>
  <r>
    <x v="195"/>
    <s v="S"/>
    <x v="1"/>
    <n v="20000"/>
    <n v="0"/>
    <s v="Bachelors"/>
    <s v="Clerical"/>
    <s v="Yes"/>
    <n v="0"/>
    <s v="0-1 Miles"/>
    <s v="Pacific"/>
    <n v="25"/>
    <x v="1"/>
  </r>
  <r>
    <x v="196"/>
    <s v="S"/>
    <x v="0"/>
    <n v="50000"/>
    <n v="0"/>
    <s v="Graduate Degree"/>
    <s v="Skilled Manual"/>
    <s v="Yes"/>
    <n v="0"/>
    <s v="1-2 Miles"/>
    <s v="Europe"/>
    <n v="36"/>
    <x v="0"/>
  </r>
  <r>
    <x v="197"/>
    <s v="M"/>
    <x v="1"/>
    <n v="60000"/>
    <n v="2"/>
    <s v="Graduate Degree"/>
    <s v="Management"/>
    <s v="Yes"/>
    <n v="1"/>
    <s v="0-1 Miles"/>
    <s v="Pacific"/>
    <n v="67"/>
    <x v="1"/>
  </r>
  <r>
    <x v="198"/>
    <s v="S"/>
    <x v="0"/>
    <n v="100000"/>
    <n v="0"/>
    <s v="Graduate Degree"/>
    <s v="Management"/>
    <s v="No"/>
    <n v="1"/>
    <s v="1-2 Miles"/>
    <s v="Pacific"/>
    <n v="39"/>
    <x v="1"/>
  </r>
  <r>
    <x v="199"/>
    <s v="S"/>
    <x v="1"/>
    <n v="80000"/>
    <n v="0"/>
    <s v="Bachelors"/>
    <s v="Professional"/>
    <s v="No"/>
    <n v="3"/>
    <s v="10+ Miles"/>
    <s v="Pacific"/>
    <n v="33"/>
    <x v="1"/>
  </r>
  <r>
    <x v="200"/>
    <s v="S"/>
    <x v="1"/>
    <n v="60000"/>
    <n v="0"/>
    <s v="Bachelors"/>
    <s v="Professional"/>
    <s v="No"/>
    <n v="3"/>
    <s v="2-5 Miles"/>
    <s v="Pacific"/>
    <n v="31"/>
    <x v="0"/>
  </r>
  <r>
    <x v="201"/>
    <s v="M"/>
    <x v="1"/>
    <n v="10000"/>
    <n v="1"/>
    <s v="High School"/>
    <s v="Manual"/>
    <s v="Yes"/>
    <n v="0"/>
    <s v="2-5 Miles"/>
    <s v="Pacific"/>
    <n v="27"/>
    <x v="1"/>
  </r>
  <r>
    <x v="202"/>
    <s v="S"/>
    <x v="1"/>
    <n v="40000"/>
    <n v="2"/>
    <s v="Partial College"/>
    <s v="Clerical"/>
    <s v="Yes"/>
    <n v="0"/>
    <s v="1-2 Miles"/>
    <s v="Europe"/>
    <n v="33"/>
    <x v="1"/>
  </r>
  <r>
    <x v="203"/>
    <s v="S"/>
    <x v="0"/>
    <n v="60000"/>
    <n v="1"/>
    <s v="Partial College"/>
    <s v="Skilled Manual"/>
    <s v="Yes"/>
    <n v="1"/>
    <s v="5-10 Miles"/>
    <s v="Pacific"/>
    <n v="46"/>
    <x v="1"/>
  </r>
  <r>
    <x v="204"/>
    <s v="S"/>
    <x v="0"/>
    <n v="90000"/>
    <n v="3"/>
    <s v="High School"/>
    <s v="Professional"/>
    <s v="No"/>
    <n v="1"/>
    <s v="2-5 Miles"/>
    <s v="Europe"/>
    <n v="51"/>
    <x v="0"/>
  </r>
  <r>
    <x v="205"/>
    <s v="M"/>
    <x v="1"/>
    <n v="30000"/>
    <n v="3"/>
    <s v="Graduate Degree"/>
    <s v="Clerical"/>
    <s v="Yes"/>
    <n v="0"/>
    <s v="0-1 Miles"/>
    <s v="Europe"/>
    <n v="46"/>
    <x v="1"/>
  </r>
  <r>
    <x v="206"/>
    <s v="S"/>
    <x v="1"/>
    <n v="90000"/>
    <n v="5"/>
    <s v="Partial College"/>
    <s v="Professional"/>
    <s v="No"/>
    <n v="2"/>
    <s v="10+ Miles"/>
    <s v="Europe"/>
    <n v="62"/>
    <x v="0"/>
  </r>
  <r>
    <x v="207"/>
    <s v="S"/>
    <x v="0"/>
    <n v="20000"/>
    <n v="0"/>
    <s v="Partial High School"/>
    <s v="Manual"/>
    <s v="Yes"/>
    <n v="2"/>
    <s v="1-2 Miles"/>
    <s v="Europe"/>
    <n v="26"/>
    <x v="1"/>
  </r>
  <r>
    <x v="208"/>
    <s v="S"/>
    <x v="0"/>
    <n v="40000"/>
    <n v="0"/>
    <s v="Graduate Degree"/>
    <s v="Clerical"/>
    <s v="Yes"/>
    <n v="0"/>
    <s v="0-1 Miles"/>
    <s v="Europe"/>
    <n v="37"/>
    <x v="1"/>
  </r>
  <r>
    <x v="209"/>
    <s v="S"/>
    <x v="0"/>
    <n v="30000"/>
    <n v="3"/>
    <s v="Partial College"/>
    <s v="Clerical"/>
    <s v="Yes"/>
    <n v="0"/>
    <s v="0-1 Miles"/>
    <s v="Europe"/>
    <n v="42"/>
    <x v="1"/>
  </r>
  <r>
    <x v="210"/>
    <s v="M"/>
    <x v="0"/>
    <n v="80000"/>
    <n v="4"/>
    <s v="Graduate Degree"/>
    <s v="Management"/>
    <s v="Yes"/>
    <n v="1"/>
    <s v="0-1 Miles"/>
    <s v="Pacific"/>
    <n v="36"/>
    <x v="0"/>
  </r>
  <r>
    <x v="211"/>
    <s v="M"/>
    <x v="0"/>
    <n v="50000"/>
    <n v="0"/>
    <s v="Graduate Degree"/>
    <s v="Skilled Manual"/>
    <s v="Yes"/>
    <n v="0"/>
    <s v="0-1 Miles"/>
    <s v="Europe"/>
    <n v="36"/>
    <x v="1"/>
  </r>
  <r>
    <x v="212"/>
    <s v="S"/>
    <x v="0"/>
    <n v="30000"/>
    <n v="0"/>
    <s v="Partial College"/>
    <s v="Clerical"/>
    <s v="No"/>
    <n v="1"/>
    <s v="2-5 Miles"/>
    <s v="Europe"/>
    <n v="30"/>
    <x v="0"/>
  </r>
  <r>
    <x v="213"/>
    <s v="S"/>
    <x v="1"/>
    <n v="70000"/>
    <n v="0"/>
    <s v="Bachelors"/>
    <s v="Professional"/>
    <s v="No"/>
    <n v="4"/>
    <s v="10+ Miles"/>
    <s v="Pacific"/>
    <n v="31"/>
    <x v="1"/>
  </r>
  <r>
    <x v="214"/>
    <s v="M"/>
    <x v="1"/>
    <n v="30000"/>
    <n v="1"/>
    <s v="Bachelors"/>
    <s v="Clerical"/>
    <s v="Yes"/>
    <n v="0"/>
    <s v="0-1 Miles"/>
    <s v="Europe"/>
    <n v="65"/>
    <x v="1"/>
  </r>
  <r>
    <x v="215"/>
    <s v="S"/>
    <x v="1"/>
    <n v="80000"/>
    <n v="4"/>
    <s v="Partial College"/>
    <s v="Professional"/>
    <s v="No"/>
    <n v="2"/>
    <s v="2-5 Miles"/>
    <s v="Europe"/>
    <n v="54"/>
    <x v="1"/>
  </r>
  <r>
    <x v="216"/>
    <s v="M"/>
    <x v="1"/>
    <n v="20000"/>
    <n v="2"/>
    <s v="Partial High School"/>
    <s v="Clerical"/>
    <s v="Yes"/>
    <n v="3"/>
    <s v="5-10 Miles"/>
    <s v="Pacific"/>
    <n v="54"/>
    <x v="0"/>
  </r>
  <r>
    <x v="217"/>
    <s v="S"/>
    <x v="0"/>
    <n v="20000"/>
    <n v="0"/>
    <s v="Partial High School"/>
    <s v="Manual"/>
    <s v="No"/>
    <n v="2"/>
    <s v="0-1 Miles"/>
    <s v="Europe"/>
    <n v="25"/>
    <x v="0"/>
  </r>
  <r>
    <x v="218"/>
    <s v="S"/>
    <x v="1"/>
    <n v="10000"/>
    <n v="1"/>
    <s v="Bachelors"/>
    <s v="Manual"/>
    <s v="Yes"/>
    <n v="0"/>
    <s v="0-1 Miles"/>
    <s v="Europe"/>
    <n v="48"/>
    <x v="0"/>
  </r>
  <r>
    <x v="219"/>
    <s v="S"/>
    <x v="1"/>
    <n v="10000"/>
    <n v="0"/>
    <s v="Partial College"/>
    <s v="Manual"/>
    <s v="Yes"/>
    <n v="1"/>
    <s v="1-2 Miles"/>
    <s v="Pacific"/>
    <n v="26"/>
    <x v="1"/>
  </r>
  <r>
    <x v="220"/>
    <s v="M"/>
    <x v="1"/>
    <n v="60000"/>
    <n v="1"/>
    <s v="Bachelors"/>
    <s v="Professional"/>
    <s v="Yes"/>
    <n v="1"/>
    <s v="5-10 Miles"/>
    <s v="Pacific"/>
    <n v="43"/>
    <x v="1"/>
  </r>
  <r>
    <x v="221"/>
    <s v="S"/>
    <x v="1"/>
    <n v="10000"/>
    <n v="0"/>
    <s v="Partial High School"/>
    <s v="Manual"/>
    <s v="No"/>
    <n v="2"/>
    <s v="1-2 Miles"/>
    <s v="Europe"/>
    <n v="35"/>
    <x v="0"/>
  </r>
  <r>
    <x v="222"/>
    <s v="M"/>
    <x v="0"/>
    <n v="30000"/>
    <n v="3"/>
    <s v="Partial College"/>
    <s v="Clerical"/>
    <s v="No"/>
    <n v="0"/>
    <s v="0-1 Miles"/>
    <s v="Europe"/>
    <n v="42"/>
    <x v="0"/>
  </r>
  <r>
    <x v="223"/>
    <s v="S"/>
    <x v="0"/>
    <n v="70000"/>
    <n v="5"/>
    <s v="Bachelors"/>
    <s v="Professional"/>
    <s v="Yes"/>
    <n v="4"/>
    <s v="10+ Miles"/>
    <s v="Pacific"/>
    <n v="39"/>
    <x v="0"/>
  </r>
  <r>
    <x v="224"/>
    <s v="M"/>
    <x v="0"/>
    <n v="30000"/>
    <n v="2"/>
    <s v="Partial College"/>
    <s v="Clerical"/>
    <s v="No"/>
    <n v="2"/>
    <s v="0-1 Miles"/>
    <s v="Pacific"/>
    <n v="67"/>
    <x v="0"/>
  </r>
  <r>
    <x v="225"/>
    <s v="M"/>
    <x v="1"/>
    <n v="20000"/>
    <n v="1"/>
    <s v="Partial College"/>
    <s v="Manual"/>
    <s v="Yes"/>
    <n v="0"/>
    <s v="1-2 Miles"/>
    <s v="Europe"/>
    <n v="35"/>
    <x v="0"/>
  </r>
  <r>
    <x v="226"/>
    <s v="S"/>
    <x v="0"/>
    <n v="20000"/>
    <n v="3"/>
    <s v="High School"/>
    <s v="Manual"/>
    <s v="Yes"/>
    <n v="1"/>
    <s v="0-1 Miles"/>
    <s v="Europe"/>
    <n v="42"/>
    <x v="1"/>
  </r>
  <r>
    <x v="227"/>
    <s v="M"/>
    <x v="1"/>
    <n v="10000"/>
    <n v="3"/>
    <s v="Partial High School"/>
    <s v="Manual"/>
    <s v="Yes"/>
    <n v="2"/>
    <s v="0-1 Miles"/>
    <s v="Europe"/>
    <n v="43"/>
    <x v="0"/>
  </r>
  <r>
    <x v="228"/>
    <s v="M"/>
    <x v="0"/>
    <n v="20000"/>
    <n v="1"/>
    <s v="Graduate Degree"/>
    <s v="Clerical"/>
    <s v="Yes"/>
    <n v="0"/>
    <s v="0-1 Miles"/>
    <s v="Europe"/>
    <n v="45"/>
    <x v="0"/>
  </r>
  <r>
    <x v="229"/>
    <s v="S"/>
    <x v="1"/>
    <n v="80000"/>
    <n v="5"/>
    <s v="High School"/>
    <s v="Management"/>
    <s v="Yes"/>
    <n v="3"/>
    <s v="10+ Miles"/>
    <s v="Europe"/>
    <n v="57"/>
    <x v="0"/>
  </r>
  <r>
    <x v="230"/>
    <s v="M"/>
    <x v="1"/>
    <n v="120000"/>
    <n v="4"/>
    <s v="Partial College"/>
    <s v="Management"/>
    <s v="Yes"/>
    <n v="3"/>
    <s v="10+ Miles"/>
    <s v="Europe"/>
    <n v="56"/>
    <x v="0"/>
  </r>
  <r>
    <x v="231"/>
    <s v="M"/>
    <x v="0"/>
    <n v="40000"/>
    <n v="0"/>
    <s v="Bachelors"/>
    <s v="Clerical"/>
    <s v="Yes"/>
    <n v="0"/>
    <s v="0-1 Miles"/>
    <s v="Europe"/>
    <n v="38"/>
    <x v="1"/>
  </r>
  <r>
    <x v="232"/>
    <s v="M"/>
    <x v="0"/>
    <n v="30000"/>
    <n v="4"/>
    <s v="Graduate Degree"/>
    <s v="Clerical"/>
    <s v="Yes"/>
    <n v="0"/>
    <s v="0-1 Miles"/>
    <s v="Europe"/>
    <n v="45"/>
    <x v="0"/>
  </r>
  <r>
    <x v="233"/>
    <s v="M"/>
    <x v="1"/>
    <n v="20000"/>
    <n v="0"/>
    <s v="Bachelors"/>
    <s v="Clerical"/>
    <s v="Yes"/>
    <n v="0"/>
    <s v="0-1 Miles"/>
    <s v="Pacific"/>
    <n v="27"/>
    <x v="1"/>
  </r>
  <r>
    <x v="234"/>
    <s v="S"/>
    <x v="1"/>
    <n v="90000"/>
    <n v="0"/>
    <s v="Bachelors"/>
    <s v="Professional"/>
    <s v="No"/>
    <n v="4"/>
    <s v="10+ Miles"/>
    <s v="Pacific"/>
    <n v="35"/>
    <x v="1"/>
  </r>
  <r>
    <x v="235"/>
    <s v="M"/>
    <x v="0"/>
    <n v="10000"/>
    <n v="1"/>
    <s v="Graduate Degree"/>
    <s v="Clerical"/>
    <s v="Yes"/>
    <n v="0"/>
    <s v="0-1 Miles"/>
    <s v="Europe"/>
    <n v="70"/>
    <x v="1"/>
  </r>
  <r>
    <x v="236"/>
    <s v="S"/>
    <x v="0"/>
    <n v="30000"/>
    <n v="5"/>
    <s v="Graduate Degree"/>
    <s v="Clerical"/>
    <s v="Yes"/>
    <n v="0"/>
    <s v="0-1 Miles"/>
    <s v="Europe"/>
    <n v="44"/>
    <x v="1"/>
  </r>
  <r>
    <x v="237"/>
    <s v="M"/>
    <x v="0"/>
    <n v="10000"/>
    <n v="0"/>
    <s v="Partial College"/>
    <s v="Manual"/>
    <s v="No"/>
    <n v="1"/>
    <s v="0-1 Miles"/>
    <s v="Pacific"/>
    <n v="26"/>
    <x v="1"/>
  </r>
  <r>
    <x v="238"/>
    <s v="M"/>
    <x v="1"/>
    <n v="70000"/>
    <n v="5"/>
    <s v="Partial College"/>
    <s v="Skilled Manual"/>
    <s v="Yes"/>
    <n v="3"/>
    <s v="5-10 Miles"/>
    <s v="Pacific"/>
    <n v="46"/>
    <x v="0"/>
  </r>
  <r>
    <x v="239"/>
    <s v="S"/>
    <x v="0"/>
    <n v="30000"/>
    <n v="0"/>
    <s v="High School"/>
    <s v="Manual"/>
    <s v="No"/>
    <n v="1"/>
    <s v="2-5 Miles"/>
    <s v="Europe"/>
    <n v="34"/>
    <x v="1"/>
  </r>
  <r>
    <x v="240"/>
    <s v="M"/>
    <x v="1"/>
    <n v="10000"/>
    <n v="1"/>
    <s v="Graduate Degree"/>
    <s v="Manual"/>
    <s v="Yes"/>
    <n v="0"/>
    <s v="0-1 Miles"/>
    <s v="Europe"/>
    <n v="37"/>
    <x v="0"/>
  </r>
  <r>
    <x v="241"/>
    <s v="S"/>
    <x v="0"/>
    <n v="30000"/>
    <n v="3"/>
    <s v="Partial College"/>
    <s v="Clerical"/>
    <s v="Yes"/>
    <n v="2"/>
    <s v="0-1 Miles"/>
    <s v="Europe"/>
    <n v="27"/>
    <x v="0"/>
  </r>
  <r>
    <x v="242"/>
    <s v="S"/>
    <x v="1"/>
    <n v="30000"/>
    <n v="1"/>
    <s v="Bachelors"/>
    <s v="Clerical"/>
    <s v="No"/>
    <n v="1"/>
    <s v="0-1 Miles"/>
    <s v="Europe"/>
    <n v="39"/>
    <x v="1"/>
  </r>
  <r>
    <x v="243"/>
    <s v="S"/>
    <x v="0"/>
    <n v="20000"/>
    <n v="0"/>
    <s v="High School"/>
    <s v="Manual"/>
    <s v="No"/>
    <n v="1"/>
    <s v="2-5 Miles"/>
    <s v="Europe"/>
    <n v="29"/>
    <x v="0"/>
  </r>
  <r>
    <x v="244"/>
    <s v="M"/>
    <x v="0"/>
    <n v="120000"/>
    <n v="3"/>
    <s v="Bachelors"/>
    <s v="Management"/>
    <s v="No"/>
    <n v="2"/>
    <s v="10+ Miles"/>
    <s v="Europe"/>
    <n v="52"/>
    <x v="1"/>
  </r>
  <r>
    <x v="245"/>
    <s v="M"/>
    <x v="1"/>
    <n v="110000"/>
    <n v="5"/>
    <s v="Bachelors"/>
    <s v="Management"/>
    <s v="Yes"/>
    <n v="4"/>
    <s v="2-5 Miles"/>
    <s v="Pacific"/>
    <n v="48"/>
    <x v="1"/>
  </r>
  <r>
    <x v="246"/>
    <s v="M"/>
    <x v="0"/>
    <n v="130000"/>
    <n v="3"/>
    <s v="Partial College"/>
    <s v="Professional"/>
    <s v="Yes"/>
    <n v="3"/>
    <s v="0-1 Miles"/>
    <s v="Europe"/>
    <n v="51"/>
    <x v="1"/>
  </r>
  <r>
    <x v="247"/>
    <s v="M"/>
    <x v="0"/>
    <n v="100000"/>
    <n v="0"/>
    <s v="High School"/>
    <s v="Management"/>
    <s v="Yes"/>
    <n v="4"/>
    <s v="10+ Miles"/>
    <s v="Pacific"/>
    <n v="34"/>
    <x v="1"/>
  </r>
  <r>
    <x v="248"/>
    <s v="M"/>
    <x v="0"/>
    <n v="10000"/>
    <n v="5"/>
    <s v="High School"/>
    <s v="Skilled Manual"/>
    <s v="No"/>
    <n v="3"/>
    <s v="1-2 Miles"/>
    <s v="Pacific"/>
    <n v="62"/>
    <x v="0"/>
  </r>
  <r>
    <x v="249"/>
    <s v="S"/>
    <x v="1"/>
    <n v="70000"/>
    <n v="0"/>
    <s v="Bachelors"/>
    <s v="Professional"/>
    <s v="Yes"/>
    <n v="1"/>
    <s v="5-10 Miles"/>
    <s v="Pacific"/>
    <n v="37"/>
    <x v="1"/>
  </r>
  <r>
    <x v="250"/>
    <s v="M"/>
    <x v="1"/>
    <n v="100000"/>
    <n v="5"/>
    <s v="Graduate Degree"/>
    <s v="Management"/>
    <s v="No"/>
    <n v="1"/>
    <s v="1-2 Miles"/>
    <s v="Pacific"/>
    <n v="78"/>
    <x v="1"/>
  </r>
  <r>
    <x v="251"/>
    <s v="M"/>
    <x v="1"/>
    <n v="130000"/>
    <n v="4"/>
    <s v="High School"/>
    <s v="Professional"/>
    <s v="Yes"/>
    <n v="3"/>
    <s v="0-1 Miles"/>
    <s v="Europe"/>
    <n v="55"/>
    <x v="0"/>
  </r>
  <r>
    <x v="252"/>
    <s v="S"/>
    <x v="1"/>
    <n v="60000"/>
    <n v="0"/>
    <s v="Bachelors"/>
    <s v="Professional"/>
    <s v="No"/>
    <n v="4"/>
    <s v="2-5 Miles"/>
    <s v="Pacific"/>
    <n v="31"/>
    <x v="0"/>
  </r>
  <r>
    <x v="253"/>
    <s v="M"/>
    <x v="1"/>
    <n v="100000"/>
    <n v="3"/>
    <s v="Partial High School"/>
    <s v="Professional"/>
    <s v="Yes"/>
    <n v="0"/>
    <s v="10+ Miles"/>
    <s v="Europe"/>
    <n v="59"/>
    <x v="1"/>
  </r>
  <r>
    <x v="254"/>
    <s v="S"/>
    <x v="1"/>
    <n v="20000"/>
    <n v="2"/>
    <s v="Partial High School"/>
    <s v="Clerical"/>
    <s v="Yes"/>
    <n v="2"/>
    <s v="5-10 Miles"/>
    <s v="Pacific"/>
    <n v="57"/>
    <x v="0"/>
  </r>
  <r>
    <x v="255"/>
    <s v="S"/>
    <x v="0"/>
    <n v="30000"/>
    <n v="3"/>
    <s v="Graduate Degree"/>
    <s v="Clerical"/>
    <s v="Yes"/>
    <n v="0"/>
    <s v="0-1 Miles"/>
    <s v="Europe"/>
    <n v="47"/>
    <x v="1"/>
  </r>
  <r>
    <x v="256"/>
    <s v="M"/>
    <x v="1"/>
    <n v="20000"/>
    <n v="1"/>
    <s v="Graduate Degree"/>
    <s v="Clerical"/>
    <s v="Yes"/>
    <n v="0"/>
    <s v="0-1 Miles"/>
    <s v="Europe"/>
    <n v="43"/>
    <x v="0"/>
  </r>
  <r>
    <x v="257"/>
    <s v="S"/>
    <x v="0"/>
    <n v="50000"/>
    <n v="0"/>
    <s v="Graduate Degree"/>
    <s v="Skilled Manual"/>
    <s v="Yes"/>
    <n v="0"/>
    <s v="0-1 Miles"/>
    <s v="Europe"/>
    <n v="36"/>
    <x v="1"/>
  </r>
  <r>
    <x v="258"/>
    <s v="S"/>
    <x v="0"/>
    <n v="100000"/>
    <n v="3"/>
    <s v="Partial College"/>
    <s v="Management"/>
    <s v="Yes"/>
    <n v="4"/>
    <s v="10+ Miles"/>
    <s v="Europe"/>
    <n v="56"/>
    <x v="0"/>
  </r>
  <r>
    <x v="259"/>
    <s v="M"/>
    <x v="1"/>
    <n v="150000"/>
    <n v="0"/>
    <s v="Bachelors"/>
    <s v="Management"/>
    <s v="Yes"/>
    <n v="4"/>
    <s v="0-1 Miles"/>
    <s v="Pacific"/>
    <n v="37"/>
    <x v="1"/>
  </r>
  <r>
    <x v="260"/>
    <s v="S"/>
    <x v="0"/>
    <n v="30000"/>
    <n v="2"/>
    <s v="Partial College"/>
    <s v="Clerical"/>
    <s v="Yes"/>
    <n v="0"/>
    <s v="0-1 Miles"/>
    <s v="Europe"/>
    <n v="43"/>
    <x v="0"/>
  </r>
  <r>
    <x v="261"/>
    <s v="M"/>
    <x v="0"/>
    <n v="40000"/>
    <n v="1"/>
    <s v="Bachelors"/>
    <s v="Skilled Manual"/>
    <s v="Yes"/>
    <n v="1"/>
    <s v="1-2 Miles"/>
    <s v="Europe"/>
    <n v="33"/>
    <x v="1"/>
  </r>
  <r>
    <x v="262"/>
    <s v="M"/>
    <x v="0"/>
    <n v="10000"/>
    <n v="2"/>
    <s v="Partial College"/>
    <s v="Manual"/>
    <s v="Yes"/>
    <n v="0"/>
    <s v="1-2 Miles"/>
    <s v="Europe"/>
    <n v="51"/>
    <x v="0"/>
  </r>
  <r>
    <x v="263"/>
    <s v="S"/>
    <x v="0"/>
    <n v="70000"/>
    <n v="5"/>
    <s v="Bachelors"/>
    <s v="Professional"/>
    <s v="Yes"/>
    <n v="3"/>
    <s v="10+ Miles"/>
    <s v="Pacific"/>
    <n v="39"/>
    <x v="0"/>
  </r>
  <r>
    <x v="264"/>
    <s v="M"/>
    <x v="1"/>
    <n v="40000"/>
    <n v="0"/>
    <s v="Graduate Degree"/>
    <s v="Clerical"/>
    <s v="Yes"/>
    <n v="0"/>
    <s v="0-1 Miles"/>
    <s v="Europe"/>
    <n v="37"/>
    <x v="1"/>
  </r>
  <r>
    <x v="265"/>
    <s v="S"/>
    <x v="0"/>
    <n v="30000"/>
    <n v="2"/>
    <s v="Partial College"/>
    <s v="Clerical"/>
    <s v="Yes"/>
    <n v="2"/>
    <s v="0-1 Miles"/>
    <s v="Europe"/>
    <n v="42"/>
    <x v="0"/>
  </r>
  <r>
    <x v="266"/>
    <s v="S"/>
    <x v="0"/>
    <n v="20000"/>
    <n v="5"/>
    <s v="High School"/>
    <s v="Manual"/>
    <s v="Yes"/>
    <n v="2"/>
    <s v="0-1 Miles"/>
    <s v="Europe"/>
    <n v="27"/>
    <x v="0"/>
  </r>
  <r>
    <x v="267"/>
    <s v="S"/>
    <x v="1"/>
    <n v="100000"/>
    <n v="5"/>
    <s v="Bachelors"/>
    <s v="Professional"/>
    <s v="Yes"/>
    <n v="1"/>
    <s v="5-10 Miles"/>
    <s v="Pacific"/>
    <n v="47"/>
    <x v="1"/>
  </r>
  <r>
    <x v="268"/>
    <s v="M"/>
    <x v="1"/>
    <n v="70000"/>
    <n v="5"/>
    <s v="Partial College"/>
    <s v="Skilled Manual"/>
    <s v="Yes"/>
    <n v="3"/>
    <s v="5-10 Miles"/>
    <s v="Pacific"/>
    <n v="45"/>
    <x v="0"/>
  </r>
  <r>
    <x v="269"/>
    <s v="S"/>
    <x v="0"/>
    <n v="50000"/>
    <n v="0"/>
    <s v="Graduate Degree"/>
    <s v="Skilled Manual"/>
    <s v="No"/>
    <n v="0"/>
    <s v="0-1 Miles"/>
    <s v="Europe"/>
    <n v="37"/>
    <x v="1"/>
  </r>
  <r>
    <x v="270"/>
    <s v="S"/>
    <x v="0"/>
    <n v="10000"/>
    <n v="2"/>
    <s v="Partial College"/>
    <s v="Manual"/>
    <s v="Yes"/>
    <n v="0"/>
    <s v="0-1 Miles"/>
    <s v="Europe"/>
    <n v="51"/>
    <x v="1"/>
  </r>
  <r>
    <x v="271"/>
    <s v="S"/>
    <x v="0"/>
    <n v="20000"/>
    <n v="0"/>
    <s v="High School"/>
    <s v="Manual"/>
    <s v="No"/>
    <n v="1"/>
    <s v="1-2 Miles"/>
    <s v="Europe"/>
    <n v="28"/>
    <x v="0"/>
  </r>
  <r>
    <x v="272"/>
    <s v="M"/>
    <x v="1"/>
    <n v="10000"/>
    <n v="4"/>
    <s v="Partial High School"/>
    <s v="Manual"/>
    <s v="Yes"/>
    <n v="1"/>
    <s v="0-1 Miles"/>
    <s v="Europe"/>
    <n v="40"/>
    <x v="1"/>
  </r>
  <r>
    <x v="273"/>
    <s v="S"/>
    <x v="0"/>
    <n v="20000"/>
    <n v="0"/>
    <s v="High School"/>
    <s v="Manual"/>
    <s v="No"/>
    <n v="1"/>
    <s v="2-5 Miles"/>
    <s v="Europe"/>
    <n v="30"/>
    <x v="0"/>
  </r>
  <r>
    <x v="274"/>
    <s v="M"/>
    <x v="0"/>
    <n v="30000"/>
    <n v="0"/>
    <s v="Bachelors"/>
    <s v="Clerical"/>
    <s v="No"/>
    <n v="0"/>
    <s v="0-1 Miles"/>
    <s v="Europe"/>
    <n v="36"/>
    <x v="1"/>
  </r>
  <r>
    <x v="275"/>
    <s v="M"/>
    <x v="0"/>
    <n v="90000"/>
    <n v="1"/>
    <s v="Graduate Degree"/>
    <s v="Management"/>
    <s v="Yes"/>
    <n v="0"/>
    <s v="0-1 Miles"/>
    <s v="Pacific"/>
    <n v="37"/>
    <x v="1"/>
  </r>
  <r>
    <x v="276"/>
    <s v="M"/>
    <x v="0"/>
    <n v="10000"/>
    <n v="2"/>
    <s v="Partial College"/>
    <s v="Manual"/>
    <s v="Yes"/>
    <n v="0"/>
    <s v="1-2 Miles"/>
    <s v="Europe"/>
    <n v="49"/>
    <x v="0"/>
  </r>
  <r>
    <x v="277"/>
    <s v="M"/>
    <x v="0"/>
    <n v="10000"/>
    <n v="2"/>
    <s v="High School"/>
    <s v="Manual"/>
    <s v="Yes"/>
    <n v="0"/>
    <s v="0-1 Miles"/>
    <s v="Europe"/>
    <n v="37"/>
    <x v="1"/>
  </r>
  <r>
    <x v="278"/>
    <s v="M"/>
    <x v="1"/>
    <n v="100000"/>
    <n v="0"/>
    <s v="High School"/>
    <s v="Management"/>
    <s v="Yes"/>
    <n v="3"/>
    <s v="10+ Miles"/>
    <s v="Pacific"/>
    <n v="35"/>
    <x v="1"/>
  </r>
  <r>
    <x v="279"/>
    <s v="S"/>
    <x v="1"/>
    <n v="30000"/>
    <n v="1"/>
    <s v="Bachelors"/>
    <s v="Clerical"/>
    <s v="No"/>
    <n v="0"/>
    <s v="0-1 Miles"/>
    <s v="Europe"/>
    <n v="38"/>
    <x v="1"/>
  </r>
  <r>
    <x v="280"/>
    <s v="S"/>
    <x v="0"/>
    <n v="10000"/>
    <n v="3"/>
    <s v="Partial High School"/>
    <s v="Manual"/>
    <s v="Yes"/>
    <n v="2"/>
    <s v="0-1 Miles"/>
    <s v="Europe"/>
    <n v="43"/>
    <x v="0"/>
  </r>
  <r>
    <x v="281"/>
    <s v="S"/>
    <x v="1"/>
    <n v="20000"/>
    <n v="1"/>
    <s v="Partial College"/>
    <s v="Manual"/>
    <s v="No"/>
    <n v="0"/>
    <s v="0-1 Miles"/>
    <s v="Europe"/>
    <n v="37"/>
    <x v="0"/>
  </r>
  <r>
    <x v="282"/>
    <s v="S"/>
    <x v="1"/>
    <n v="10000"/>
    <n v="0"/>
    <s v="Partial High School"/>
    <s v="Manual"/>
    <s v="No"/>
    <n v="2"/>
    <s v="0-1 Miles"/>
    <s v="Europe"/>
    <n v="34"/>
    <x v="0"/>
  </r>
  <r>
    <x v="283"/>
    <s v="M"/>
    <x v="0"/>
    <n v="70000"/>
    <n v="5"/>
    <s v="Partial College"/>
    <s v="Skilled Manual"/>
    <s v="No"/>
    <n v="3"/>
    <s v="5-10 Miles"/>
    <s v="Pacific"/>
    <n v="46"/>
    <x v="0"/>
  </r>
  <r>
    <x v="284"/>
    <s v="S"/>
    <x v="1"/>
    <n v="10000"/>
    <n v="1"/>
    <s v="Partial College"/>
    <s v="Manual"/>
    <s v="Yes"/>
    <n v="0"/>
    <s v="0-1 Miles"/>
    <s v="Europe"/>
    <n v="49"/>
    <x v="0"/>
  </r>
  <r>
    <x v="285"/>
    <s v="M"/>
    <x v="0"/>
    <n v="60000"/>
    <n v="1"/>
    <s v="Partial College"/>
    <s v="Skilled Manual"/>
    <s v="Yes"/>
    <n v="1"/>
    <s v="5-10 Miles"/>
    <s v="Pacific"/>
    <n v="45"/>
    <x v="0"/>
  </r>
  <r>
    <x v="286"/>
    <s v="S"/>
    <x v="0"/>
    <n v="100000"/>
    <n v="1"/>
    <s v="Bachelors"/>
    <s v="Management"/>
    <s v="Yes"/>
    <n v="4"/>
    <s v="2-5 Miles"/>
    <s v="Pacific"/>
    <n v="48"/>
    <x v="0"/>
  </r>
  <r>
    <x v="287"/>
    <s v="S"/>
    <x v="0"/>
    <n v="30000"/>
    <n v="3"/>
    <s v="Graduate Degree"/>
    <s v="Clerical"/>
    <s v="No"/>
    <n v="0"/>
    <s v="0-1 Miles"/>
    <s v="Europe"/>
    <n v="46"/>
    <x v="1"/>
  </r>
  <r>
    <x v="288"/>
    <s v="M"/>
    <x v="1"/>
    <n v="130000"/>
    <n v="0"/>
    <s v="Graduate Degree"/>
    <s v="Management"/>
    <s v="Yes"/>
    <n v="0"/>
    <s v="5-10 Miles"/>
    <s v="Pacific"/>
    <n v="48"/>
    <x v="0"/>
  </r>
  <r>
    <x v="289"/>
    <s v="M"/>
    <x v="1"/>
    <n v="30000"/>
    <n v="3"/>
    <s v="High School"/>
    <s v="Skilled Manual"/>
    <s v="Yes"/>
    <n v="2"/>
    <s v="5-10 Miles"/>
    <s v="Pacific"/>
    <n v="54"/>
    <x v="1"/>
  </r>
  <r>
    <x v="290"/>
    <s v="S"/>
    <x v="0"/>
    <n v="60000"/>
    <n v="1"/>
    <s v="Partial College"/>
    <s v="Skilled Manual"/>
    <s v="No"/>
    <n v="1"/>
    <s v="0-1 Miles"/>
    <s v="Pacific"/>
    <n v="46"/>
    <x v="1"/>
  </r>
  <r>
    <x v="291"/>
    <s v="M"/>
    <x v="1"/>
    <n v="40000"/>
    <n v="0"/>
    <s v="Bachelors"/>
    <s v="Clerical"/>
    <s v="No"/>
    <n v="0"/>
    <s v="0-1 Miles"/>
    <s v="Europe"/>
    <n v="38"/>
    <x v="1"/>
  </r>
  <r>
    <x v="292"/>
    <s v="M"/>
    <x v="0"/>
    <n v="40000"/>
    <n v="1"/>
    <s v="Bachelors"/>
    <s v="Skilled Manual"/>
    <s v="Yes"/>
    <n v="0"/>
    <s v="0-1 Miles"/>
    <s v="Europe"/>
    <n v="42"/>
    <x v="1"/>
  </r>
  <r>
    <x v="293"/>
    <s v="S"/>
    <x v="0"/>
    <n v="10000"/>
    <n v="1"/>
    <s v="High School"/>
    <s v="Manual"/>
    <s v="No"/>
    <n v="1"/>
    <s v="2-5 Miles"/>
    <s v="Europe"/>
    <n v="46"/>
    <x v="1"/>
  </r>
  <r>
    <x v="294"/>
    <s v="S"/>
    <x v="1"/>
    <n v="20000"/>
    <n v="0"/>
    <s v="Partial College"/>
    <s v="Manual"/>
    <s v="No"/>
    <n v="1"/>
    <s v="2-5 Miles"/>
    <s v="Europe"/>
    <n v="36"/>
    <x v="1"/>
  </r>
  <r>
    <x v="295"/>
    <s v="S"/>
    <x v="0"/>
    <n v="110000"/>
    <n v="0"/>
    <s v="Partial College"/>
    <s v="Management"/>
    <s v="Yes"/>
    <n v="3"/>
    <s v="10+ Miles"/>
    <s v="Pacific"/>
    <n v="32"/>
    <x v="1"/>
  </r>
  <r>
    <x v="296"/>
    <s v="S"/>
    <x v="0"/>
    <n v="60000"/>
    <n v="2"/>
    <s v="Bachelors"/>
    <s v="Professional"/>
    <s v="No"/>
    <n v="1"/>
    <s v="0-1 Miles"/>
    <s v="Pacific"/>
    <n v="39"/>
    <x v="1"/>
  </r>
  <r>
    <x v="297"/>
    <s v="M"/>
    <x v="1"/>
    <n v="100000"/>
    <n v="1"/>
    <s v="Graduate Degree"/>
    <s v="Management"/>
    <s v="Yes"/>
    <n v="0"/>
    <s v="2-5 Miles"/>
    <s v="Pacific"/>
    <n v="36"/>
    <x v="1"/>
  </r>
  <r>
    <x v="298"/>
    <s v="M"/>
    <x v="0"/>
    <n v="90000"/>
    <n v="4"/>
    <s v="High School"/>
    <s v="Professional"/>
    <s v="No"/>
    <n v="2"/>
    <s v="2-5 Miles"/>
    <s v="Europe"/>
    <n v="54"/>
    <x v="1"/>
  </r>
  <r>
    <x v="299"/>
    <s v="M"/>
    <x v="0"/>
    <n v="30000"/>
    <n v="2"/>
    <s v="Partial College"/>
    <s v="Clerical"/>
    <s v="No"/>
    <n v="2"/>
    <s v="5-10 Miles"/>
    <s v="Pacific"/>
    <n v="69"/>
    <x v="0"/>
  </r>
  <r>
    <x v="300"/>
    <s v="S"/>
    <x v="0"/>
    <n v="10000"/>
    <n v="5"/>
    <s v="High School"/>
    <s v="Skilled Manual"/>
    <s v="No"/>
    <n v="2"/>
    <s v="1-2 Miles"/>
    <s v="Pacific"/>
    <n v="62"/>
    <x v="0"/>
  </r>
  <r>
    <x v="301"/>
    <s v="S"/>
    <x v="0"/>
    <n v="40000"/>
    <n v="0"/>
    <s v="Bachelors"/>
    <s v="Clerical"/>
    <s v="No"/>
    <n v="0"/>
    <s v="0-1 Miles"/>
    <s v="Pacific"/>
    <n v="28"/>
    <x v="1"/>
  </r>
  <r>
    <x v="302"/>
    <s v="S"/>
    <x v="1"/>
    <n v="30000"/>
    <n v="1"/>
    <s v="Bachelors"/>
    <s v="Clerical"/>
    <s v="Yes"/>
    <n v="0"/>
    <s v="0-1 Miles"/>
    <s v="Europe"/>
    <n v="62"/>
    <x v="1"/>
  </r>
  <r>
    <x v="303"/>
    <s v="M"/>
    <x v="0"/>
    <n v="30000"/>
    <n v="1"/>
    <s v="Bachelors"/>
    <s v="Skilled Manual"/>
    <s v="Yes"/>
    <n v="2"/>
    <s v="0-1 Miles"/>
    <s v="Europe"/>
    <n v="40"/>
    <x v="0"/>
  </r>
  <r>
    <x v="304"/>
    <s v="M"/>
    <x v="1"/>
    <n v="80000"/>
    <n v="4"/>
    <s v="Graduate Degree"/>
    <s v="Management"/>
    <s v="Yes"/>
    <n v="1"/>
    <s v="0-1 Miles"/>
    <s v="Pacific"/>
    <n v="36"/>
    <x v="1"/>
  </r>
  <r>
    <x v="305"/>
    <s v="S"/>
    <x v="1"/>
    <n v="10000"/>
    <n v="2"/>
    <s v="Partial High School"/>
    <s v="Clerical"/>
    <s v="Yes"/>
    <n v="2"/>
    <s v="5-10 Miles"/>
    <s v="Pacific"/>
    <n v="58"/>
    <x v="0"/>
  </r>
  <r>
    <x v="306"/>
    <s v="M"/>
    <x v="1"/>
    <n v="90000"/>
    <n v="2"/>
    <s v="Bachelors"/>
    <s v="Professional"/>
    <s v="Yes"/>
    <n v="0"/>
    <s v="1-2 Miles"/>
    <s v="Pacific"/>
    <n v="40"/>
    <x v="1"/>
  </r>
  <r>
    <x v="307"/>
    <s v="M"/>
    <x v="1"/>
    <n v="10000"/>
    <n v="2"/>
    <s v="Bachelors"/>
    <s v="Clerical"/>
    <s v="Yes"/>
    <n v="1"/>
    <s v="0-1 Miles"/>
    <s v="Europe"/>
    <n v="66"/>
    <x v="0"/>
  </r>
  <r>
    <x v="308"/>
    <s v="M"/>
    <x v="1"/>
    <n v="40000"/>
    <n v="2"/>
    <s v="Partial College"/>
    <s v="Clerical"/>
    <s v="Yes"/>
    <n v="1"/>
    <s v="1-2 Miles"/>
    <s v="Europe"/>
    <n v="35"/>
    <x v="1"/>
  </r>
  <r>
    <x v="309"/>
    <s v="M"/>
    <x v="0"/>
    <n v="20000"/>
    <n v="2"/>
    <s v="Partial College"/>
    <s v="Manual"/>
    <s v="Yes"/>
    <n v="1"/>
    <s v="2-5 Miles"/>
    <s v="Europe"/>
    <n v="47"/>
    <x v="1"/>
  </r>
  <r>
    <x v="310"/>
    <s v="M"/>
    <x v="1"/>
    <n v="120000"/>
    <n v="4"/>
    <s v="Bachelors"/>
    <s v="Management"/>
    <s v="Yes"/>
    <n v="1"/>
    <s v="2-5 Miles"/>
    <s v="Pacific"/>
    <n v="47"/>
    <x v="0"/>
  </r>
  <r>
    <x v="311"/>
    <s v="M"/>
    <x v="1"/>
    <n v="60000"/>
    <n v="1"/>
    <s v="Partial College"/>
    <s v="Skilled Manual"/>
    <s v="Yes"/>
    <n v="1"/>
    <s v="5-10 Miles"/>
    <s v="Pacific"/>
    <n v="46"/>
    <x v="0"/>
  </r>
  <r>
    <x v="312"/>
    <s v="M"/>
    <x v="1"/>
    <n v="20000"/>
    <n v="4"/>
    <s v="High School"/>
    <s v="Skilled Manual"/>
    <s v="Yes"/>
    <n v="2"/>
    <s v="5-10 Miles"/>
    <s v="Pacific"/>
    <n v="58"/>
    <x v="1"/>
  </r>
  <r>
    <x v="313"/>
    <s v="S"/>
    <x v="1"/>
    <n v="40000"/>
    <n v="3"/>
    <s v="Partial High School"/>
    <s v="Clerical"/>
    <s v="No"/>
    <n v="2"/>
    <s v="5-10 Miles"/>
    <s v="Pacific"/>
    <n v="52"/>
    <x v="1"/>
  </r>
  <r>
    <x v="314"/>
    <s v="M"/>
    <x v="1"/>
    <n v="80000"/>
    <n v="5"/>
    <s v="Bachelors"/>
    <s v="Professional"/>
    <s v="No"/>
    <n v="1"/>
    <s v="0-1 Miles"/>
    <s v="Pacific"/>
    <n v="47"/>
    <x v="1"/>
  </r>
  <r>
    <x v="315"/>
    <s v="S"/>
    <x v="1"/>
    <n v="70000"/>
    <n v="0"/>
    <s v="Bachelors"/>
    <s v="Professional"/>
    <s v="No"/>
    <n v="1"/>
    <s v="5-10 Miles"/>
    <s v="Pacific"/>
    <n v="41"/>
    <x v="0"/>
  </r>
  <r>
    <x v="316"/>
    <s v="M"/>
    <x v="1"/>
    <n v="50000"/>
    <n v="2"/>
    <s v="Graduate Degree"/>
    <s v="Management"/>
    <s v="Yes"/>
    <n v="1"/>
    <s v="5-10 Miles"/>
    <s v="Pacific"/>
    <n v="64"/>
    <x v="1"/>
  </r>
  <r>
    <x v="317"/>
    <s v="M"/>
    <x v="1"/>
    <n v="30000"/>
    <n v="0"/>
    <s v="Bachelors"/>
    <s v="Clerical"/>
    <s v="Yes"/>
    <n v="0"/>
    <s v="0-1 Miles"/>
    <s v="Europe"/>
    <n v="35"/>
    <x v="1"/>
  </r>
  <r>
    <x v="318"/>
    <s v="M"/>
    <x v="1"/>
    <n v="130000"/>
    <n v="4"/>
    <s v="Partial College"/>
    <s v="Professional"/>
    <s v="No"/>
    <n v="3"/>
    <s v="10+ Miles"/>
    <s v="Europe"/>
    <n v="54"/>
    <x v="0"/>
  </r>
  <r>
    <x v="319"/>
    <s v="M"/>
    <x v="0"/>
    <n v="30000"/>
    <n v="3"/>
    <s v="Bachelors"/>
    <s v="Clerical"/>
    <s v="Yes"/>
    <n v="0"/>
    <s v="0-1 Miles"/>
    <s v="Europe"/>
    <n v="45"/>
    <x v="0"/>
  </r>
  <r>
    <x v="320"/>
    <s v="M"/>
    <x v="1"/>
    <n v="100000"/>
    <n v="0"/>
    <s v="Graduate Degree"/>
    <s v="Management"/>
    <s v="Yes"/>
    <n v="0"/>
    <s v="2-5 Miles"/>
    <s v="Pacific"/>
    <n v="40"/>
    <x v="1"/>
  </r>
  <r>
    <x v="321"/>
    <s v="S"/>
    <x v="0"/>
    <n v="160000"/>
    <n v="0"/>
    <s v="Graduate Degree"/>
    <s v="Management"/>
    <s v="No"/>
    <n v="3"/>
    <s v="0-1 Miles"/>
    <s v="Pacific"/>
    <n v="47"/>
    <x v="1"/>
  </r>
  <r>
    <x v="322"/>
    <s v="S"/>
    <x v="0"/>
    <n v="10000"/>
    <n v="4"/>
    <s v="Partial High School"/>
    <s v="Manual"/>
    <s v="Yes"/>
    <n v="2"/>
    <s v="0-1 Miles"/>
    <s v="Europe"/>
    <n v="41"/>
    <x v="1"/>
  </r>
  <r>
    <x v="323"/>
    <s v="S"/>
    <x v="0"/>
    <n v="40000"/>
    <n v="0"/>
    <s v="Graduate Degree"/>
    <s v="Clerical"/>
    <s v="No"/>
    <n v="0"/>
    <s v="0-1 Miles"/>
    <s v="Europe"/>
    <n v="37"/>
    <x v="1"/>
  </r>
  <r>
    <x v="324"/>
    <s v="M"/>
    <x v="1"/>
    <n v="90000"/>
    <n v="4"/>
    <s v="Bachelors"/>
    <s v="Professional"/>
    <s v="Yes"/>
    <n v="0"/>
    <s v="1-2 Miles"/>
    <s v="Pacific"/>
    <n v="38"/>
    <x v="1"/>
  </r>
  <r>
    <x v="325"/>
    <s v="S"/>
    <x v="1"/>
    <n v="40000"/>
    <n v="2"/>
    <s v="Partial College"/>
    <s v="Clerical"/>
    <s v="No"/>
    <n v="2"/>
    <s v="0-1 Miles"/>
    <s v="Europe"/>
    <n v="36"/>
    <x v="1"/>
  </r>
  <r>
    <x v="326"/>
    <s v="M"/>
    <x v="0"/>
    <n v="20000"/>
    <n v="0"/>
    <s v="Bachelors"/>
    <s v="Clerical"/>
    <s v="No"/>
    <n v="0"/>
    <s v="0-1 Miles"/>
    <s v="Pacific"/>
    <n v="26"/>
    <x v="1"/>
  </r>
  <r>
    <x v="327"/>
    <s v="M"/>
    <x v="1"/>
    <n v="30000"/>
    <n v="1"/>
    <s v="Bachelors"/>
    <s v="Skilled Manual"/>
    <s v="Yes"/>
    <n v="2"/>
    <s v="0-1 Miles"/>
    <s v="Europe"/>
    <n v="40"/>
    <x v="0"/>
  </r>
  <r>
    <x v="328"/>
    <s v="S"/>
    <x v="1"/>
    <n v="40000"/>
    <n v="2"/>
    <s v="Partial College"/>
    <s v="Clerical"/>
    <s v="Yes"/>
    <n v="2"/>
    <s v="1-2 Miles"/>
    <s v="Europe"/>
    <n v="36"/>
    <x v="0"/>
  </r>
  <r>
    <x v="329"/>
    <s v="M"/>
    <x v="0"/>
    <n v="90000"/>
    <n v="5"/>
    <s v="Partial High School"/>
    <s v="Skilled Manual"/>
    <s v="Yes"/>
    <n v="2"/>
    <s v="10+ Miles"/>
    <s v="Europe"/>
    <n v="59"/>
    <x v="0"/>
  </r>
  <r>
    <x v="330"/>
    <s v="S"/>
    <x v="0"/>
    <n v="80000"/>
    <n v="0"/>
    <s v="Bachelors"/>
    <s v="Professional"/>
    <s v="Yes"/>
    <n v="3"/>
    <s v="10+ Miles"/>
    <s v="Pacific"/>
    <n v="32"/>
    <x v="0"/>
  </r>
  <r>
    <x v="331"/>
    <s v="M"/>
    <x v="1"/>
    <n v="10000"/>
    <n v="0"/>
    <s v="Partial High School"/>
    <s v="Manual"/>
    <s v="No"/>
    <n v="2"/>
    <s v="0-1 Miles"/>
    <s v="Europe"/>
    <n v="30"/>
    <x v="0"/>
  </r>
  <r>
    <x v="332"/>
    <s v="S"/>
    <x v="0"/>
    <n v="20000"/>
    <n v="0"/>
    <s v="Partial High School"/>
    <s v="Manual"/>
    <s v="No"/>
    <n v="2"/>
    <s v="1-2 Miles"/>
    <s v="Europe"/>
    <n v="35"/>
    <x v="1"/>
  </r>
  <r>
    <x v="333"/>
    <s v="M"/>
    <x v="1"/>
    <n v="130000"/>
    <n v="3"/>
    <s v="High School"/>
    <s v="Professional"/>
    <s v="Yes"/>
    <n v="4"/>
    <s v="5-10 Miles"/>
    <s v="Europe"/>
    <n v="51"/>
    <x v="1"/>
  </r>
  <r>
    <x v="334"/>
    <s v="M"/>
    <x v="1"/>
    <n v="90000"/>
    <n v="2"/>
    <s v="Bachelors"/>
    <s v="Professional"/>
    <s v="Yes"/>
    <n v="1"/>
    <s v="5-10 Miles"/>
    <s v="Pacific"/>
    <n v="47"/>
    <x v="0"/>
  </r>
  <r>
    <x v="335"/>
    <s v="M"/>
    <x v="1"/>
    <n v="80000"/>
    <n v="5"/>
    <s v="Graduate Degree"/>
    <s v="Management"/>
    <s v="No"/>
    <n v="2"/>
    <s v="0-1 Miles"/>
    <s v="Pacific"/>
    <n v="39"/>
    <x v="0"/>
  </r>
  <r>
    <x v="336"/>
    <s v="S"/>
    <x v="1"/>
    <n v="20000"/>
    <n v="0"/>
    <s v="Partial High School"/>
    <s v="Manual"/>
    <s v="No"/>
    <n v="2"/>
    <s v="0-1 Miles"/>
    <s v="Europe"/>
    <n v="34"/>
    <x v="0"/>
  </r>
  <r>
    <x v="337"/>
    <s v="M"/>
    <x v="1"/>
    <n v="10000"/>
    <n v="0"/>
    <s v="Partial High School"/>
    <s v="Manual"/>
    <s v="Yes"/>
    <n v="2"/>
    <s v="0-1 Miles"/>
    <s v="Europe"/>
    <n v="32"/>
    <x v="0"/>
  </r>
  <r>
    <x v="338"/>
    <s v="S"/>
    <x v="0"/>
    <n v="120000"/>
    <n v="3"/>
    <s v="High School"/>
    <s v="Professional"/>
    <s v="Yes"/>
    <n v="4"/>
    <s v="5-10 Miles"/>
    <s v="Europe"/>
    <n v="50"/>
    <x v="1"/>
  </r>
  <r>
    <x v="339"/>
    <s v="M"/>
    <x v="1"/>
    <n v="20000"/>
    <n v="1"/>
    <s v="Bachelors"/>
    <s v="Clerical"/>
    <s v="Yes"/>
    <n v="0"/>
    <s v="0-1 Miles"/>
    <s v="Europe"/>
    <n v="66"/>
    <x v="0"/>
  </r>
  <r>
    <x v="340"/>
    <s v="S"/>
    <x v="1"/>
    <n v="30000"/>
    <n v="0"/>
    <s v="Partial College"/>
    <s v="Clerical"/>
    <s v="Yes"/>
    <n v="1"/>
    <s v="2-5 Miles"/>
    <s v="Europe"/>
    <n v="30"/>
    <x v="0"/>
  </r>
  <r>
    <x v="341"/>
    <s v="S"/>
    <x v="0"/>
    <n v="30000"/>
    <n v="0"/>
    <s v="High School"/>
    <s v="Manual"/>
    <s v="No"/>
    <n v="1"/>
    <s v="2-5 Miles"/>
    <s v="Europe"/>
    <n v="32"/>
    <x v="1"/>
  </r>
  <r>
    <x v="342"/>
    <s v="S"/>
    <x v="1"/>
    <n v="10000"/>
    <n v="0"/>
    <s v="Partial High School"/>
    <s v="Manual"/>
    <s v="Yes"/>
    <n v="2"/>
    <s v="1-2 Miles"/>
    <s v="Europe"/>
    <n v="35"/>
    <x v="0"/>
  </r>
  <r>
    <x v="343"/>
    <s v="S"/>
    <x v="0"/>
    <n v="30000"/>
    <n v="0"/>
    <s v="High School"/>
    <s v="Manual"/>
    <s v="No"/>
    <n v="1"/>
    <s v="2-5 Miles"/>
    <s v="Europe"/>
    <n v="32"/>
    <x v="0"/>
  </r>
  <r>
    <x v="344"/>
    <s v="S"/>
    <x v="1"/>
    <n v="30000"/>
    <n v="0"/>
    <s v="Partial College"/>
    <s v="Clerical"/>
    <s v="No"/>
    <n v="1"/>
    <s v="2-5 Miles"/>
    <s v="Europe"/>
    <n v="31"/>
    <x v="1"/>
  </r>
  <r>
    <x v="345"/>
    <s v="M"/>
    <x v="0"/>
    <n v="20000"/>
    <n v="1"/>
    <s v="Bachelors"/>
    <s v="Clerical"/>
    <s v="Yes"/>
    <n v="0"/>
    <s v="0-1 Miles"/>
    <s v="Europe"/>
    <n v="50"/>
    <x v="1"/>
  </r>
  <r>
    <x v="346"/>
    <s v="M"/>
    <x v="1"/>
    <n v="40000"/>
    <n v="1"/>
    <s v="Bachelors"/>
    <s v="Skilled Manual"/>
    <s v="No"/>
    <n v="0"/>
    <s v="0-1 Miles"/>
    <s v="Europe"/>
    <n v="43"/>
    <x v="1"/>
  </r>
  <r>
    <x v="347"/>
    <s v="S"/>
    <x v="0"/>
    <n v="60000"/>
    <n v="1"/>
    <s v="Partial College"/>
    <s v="Skilled Manual"/>
    <s v="No"/>
    <n v="1"/>
    <s v="0-1 Miles"/>
    <s v="Pacific"/>
    <n v="45"/>
    <x v="1"/>
  </r>
  <r>
    <x v="348"/>
    <s v="M"/>
    <x v="1"/>
    <n v="20000"/>
    <n v="2"/>
    <s v="High School"/>
    <s v="Manual"/>
    <s v="Yes"/>
    <n v="2"/>
    <s v="0-1 Miles"/>
    <s v="Europe"/>
    <n v="42"/>
    <x v="0"/>
  </r>
  <r>
    <x v="349"/>
    <s v="S"/>
    <x v="0"/>
    <n v="30000"/>
    <n v="0"/>
    <s v="Partial College"/>
    <s v="Clerical"/>
    <s v="No"/>
    <n v="1"/>
    <s v="0-1 Miles"/>
    <s v="Europe"/>
    <n v="29"/>
    <x v="1"/>
  </r>
  <r>
    <x v="350"/>
    <s v="S"/>
    <x v="1"/>
    <n v="20000"/>
    <n v="0"/>
    <s v="Partial College"/>
    <s v="Manual"/>
    <s v="No"/>
    <n v="0"/>
    <s v="0-1 Miles"/>
    <s v="Pacific"/>
    <n v="28"/>
    <x v="1"/>
  </r>
  <r>
    <x v="351"/>
    <s v="S"/>
    <x v="1"/>
    <n v="10000"/>
    <n v="3"/>
    <s v="High School"/>
    <s v="Manual"/>
    <s v="Yes"/>
    <n v="0"/>
    <s v="0-1 Miles"/>
    <s v="Europe"/>
    <n v="37"/>
    <x v="1"/>
  </r>
  <r>
    <x v="352"/>
    <s v="M"/>
    <x v="0"/>
    <n v="80000"/>
    <n v="4"/>
    <s v="Partial College"/>
    <s v="Professional"/>
    <s v="Yes"/>
    <n v="2"/>
    <s v="2-5 Miles"/>
    <s v="Europe"/>
    <n v="53"/>
    <x v="0"/>
  </r>
  <r>
    <x v="353"/>
    <s v="S"/>
    <x v="1"/>
    <n v="40000"/>
    <n v="0"/>
    <s v="Graduate Degree"/>
    <s v="Clerical"/>
    <s v="No"/>
    <n v="0"/>
    <s v="0-1 Miles"/>
    <s v="Europe"/>
    <n v="38"/>
    <x v="1"/>
  </r>
  <r>
    <x v="354"/>
    <s v="S"/>
    <x v="1"/>
    <n v="30000"/>
    <n v="1"/>
    <s v="Bachelors"/>
    <s v="Clerical"/>
    <s v="No"/>
    <n v="1"/>
    <s v="1-2 Miles"/>
    <s v="Europe"/>
    <n v="39"/>
    <x v="0"/>
  </r>
  <r>
    <x v="355"/>
    <s v="S"/>
    <x v="1"/>
    <n v="80000"/>
    <n v="0"/>
    <s v="Bachelors"/>
    <s v="Professional"/>
    <s v="Yes"/>
    <n v="3"/>
    <s v="10+ Miles"/>
    <s v="Pacific"/>
    <n v="32"/>
    <x v="0"/>
  </r>
  <r>
    <x v="356"/>
    <s v="M"/>
    <x v="0"/>
    <n v="150000"/>
    <n v="3"/>
    <s v="High School"/>
    <s v="Professional"/>
    <s v="Yes"/>
    <n v="3"/>
    <s v="0-1 Miles"/>
    <s v="Europe"/>
    <n v="51"/>
    <x v="1"/>
  </r>
  <r>
    <x v="357"/>
    <s v="S"/>
    <x v="0"/>
    <n v="10000"/>
    <n v="0"/>
    <s v="Partial High School"/>
    <s v="Manual"/>
    <s v="Yes"/>
    <n v="2"/>
    <s v="1-2 Miles"/>
    <s v="Europe"/>
    <n v="33"/>
    <x v="0"/>
  </r>
  <r>
    <x v="358"/>
    <s v="M"/>
    <x v="1"/>
    <n v="90000"/>
    <n v="4"/>
    <s v="High School"/>
    <s v="Management"/>
    <s v="Yes"/>
    <n v="3"/>
    <s v="5-10 Miles"/>
    <s v="Europe"/>
    <n v="58"/>
    <x v="1"/>
  </r>
  <r>
    <x v="359"/>
    <s v="M"/>
    <x v="1"/>
    <n v="80000"/>
    <n v="0"/>
    <s v="Bachelors"/>
    <s v="Professional"/>
    <s v="Yes"/>
    <n v="3"/>
    <s v="10+ Miles"/>
    <s v="Pacific"/>
    <n v="30"/>
    <x v="0"/>
  </r>
  <r>
    <x v="360"/>
    <s v="S"/>
    <x v="1"/>
    <n v="130000"/>
    <n v="0"/>
    <s v="Graduate Degree"/>
    <s v="Management"/>
    <s v="Yes"/>
    <n v="0"/>
    <s v="2-5 Miles"/>
    <s v="Pacific"/>
    <n v="48"/>
    <x v="1"/>
  </r>
  <r>
    <x v="361"/>
    <s v="S"/>
    <x v="0"/>
    <n v="30000"/>
    <n v="3"/>
    <s v="Partial College"/>
    <s v="Clerical"/>
    <s v="No"/>
    <n v="2"/>
    <s v="0-1 Miles"/>
    <s v="Europe"/>
    <n v="27"/>
    <x v="1"/>
  </r>
  <r>
    <x v="362"/>
    <s v="M"/>
    <x v="1"/>
    <n v="40000"/>
    <n v="1"/>
    <s v="Bachelors"/>
    <s v="Skilled Manual"/>
    <s v="Yes"/>
    <n v="1"/>
    <s v="0-1 Miles"/>
    <s v="Europe"/>
    <n v="33"/>
    <x v="1"/>
  </r>
  <r>
    <x v="363"/>
    <s v="M"/>
    <x v="0"/>
    <n v="40000"/>
    <n v="2"/>
    <s v="Bachelors"/>
    <s v="Management"/>
    <s v="Yes"/>
    <n v="2"/>
    <s v="0-1 Miles"/>
    <s v="Pacific"/>
    <n v="66"/>
    <x v="1"/>
  </r>
  <r>
    <x v="364"/>
    <s v="S"/>
    <x v="0"/>
    <n v="10000"/>
    <n v="2"/>
    <s v="High School"/>
    <s v="Manual"/>
    <s v="Yes"/>
    <n v="1"/>
    <s v="0-1 Miles"/>
    <s v="Europe"/>
    <n v="38"/>
    <x v="1"/>
  </r>
  <r>
    <x v="365"/>
    <s v="S"/>
    <x v="0"/>
    <n v="40000"/>
    <n v="0"/>
    <s v="Bachelors"/>
    <s v="Clerical"/>
    <s v="No"/>
    <n v="0"/>
    <s v="0-1 Miles"/>
    <s v="Europe"/>
    <n v="38"/>
    <x v="1"/>
  </r>
  <r>
    <x v="366"/>
    <s v="M"/>
    <x v="1"/>
    <n v="60000"/>
    <n v="1"/>
    <s v="Partial College"/>
    <s v="Skilled Manual"/>
    <s v="Yes"/>
    <n v="1"/>
    <s v="0-1 Miles"/>
    <s v="Pacific"/>
    <n v="45"/>
    <x v="1"/>
  </r>
  <r>
    <x v="367"/>
    <s v="M"/>
    <x v="0"/>
    <n v="130000"/>
    <n v="3"/>
    <s v="Partial College"/>
    <s v="Professional"/>
    <s v="Yes"/>
    <n v="3"/>
    <s v="5-10 Miles"/>
    <s v="Europe"/>
    <n v="50"/>
    <x v="1"/>
  </r>
  <r>
    <x v="368"/>
    <s v="S"/>
    <x v="0"/>
    <n v="30000"/>
    <n v="2"/>
    <s v="Partial College"/>
    <s v="Clerical"/>
    <s v="No"/>
    <n v="2"/>
    <s v="5-10 Miles"/>
    <s v="Pacific"/>
    <n v="60"/>
    <x v="1"/>
  </r>
  <r>
    <x v="369"/>
    <s v="S"/>
    <x v="0"/>
    <n v="20000"/>
    <n v="2"/>
    <s v="Partial College"/>
    <s v="Manual"/>
    <s v="No"/>
    <n v="1"/>
    <s v="0-1 Miles"/>
    <s v="Europe"/>
    <n v="53"/>
    <x v="1"/>
  </r>
  <r>
    <x v="370"/>
    <s v="M"/>
    <x v="0"/>
    <n v="100000"/>
    <n v="4"/>
    <s v="Bachelors"/>
    <s v="Professional"/>
    <s v="Yes"/>
    <n v="1"/>
    <s v="10+ Miles"/>
    <s v="Pacific"/>
    <n v="46"/>
    <x v="0"/>
  </r>
  <r>
    <x v="371"/>
    <s v="S"/>
    <x v="1"/>
    <n v="80000"/>
    <n v="5"/>
    <s v="Graduate Degree"/>
    <s v="Management"/>
    <s v="Yes"/>
    <n v="3"/>
    <s v="0-1 Miles"/>
    <s v="Pacific"/>
    <n v="50"/>
    <x v="0"/>
  </r>
  <r>
    <x v="372"/>
    <s v="M"/>
    <x v="1"/>
    <n v="40000"/>
    <n v="1"/>
    <s v="Bachelors"/>
    <s v="Skilled Manual"/>
    <s v="Yes"/>
    <n v="1"/>
    <s v="0-1 Miles"/>
    <s v="Europe"/>
    <n v="43"/>
    <x v="1"/>
  </r>
  <r>
    <x v="373"/>
    <s v="S"/>
    <x v="1"/>
    <n v="20000"/>
    <n v="0"/>
    <s v="High School"/>
    <s v="Manual"/>
    <s v="No"/>
    <n v="1"/>
    <s v="2-5 Miles"/>
    <s v="Europe"/>
    <n v="30"/>
    <x v="0"/>
  </r>
  <r>
    <x v="374"/>
    <s v="S"/>
    <x v="0"/>
    <n v="80000"/>
    <n v="5"/>
    <s v="Bachelors"/>
    <s v="Professional"/>
    <s v="Yes"/>
    <n v="4"/>
    <s v="1-2 Miles"/>
    <s v="Pacific"/>
    <n v="38"/>
    <x v="0"/>
  </r>
  <r>
    <x v="375"/>
    <s v="M"/>
    <x v="0"/>
    <n v="40000"/>
    <n v="1"/>
    <s v="Bachelors"/>
    <s v="Skilled Manual"/>
    <s v="Yes"/>
    <n v="1"/>
    <s v="0-1 Miles"/>
    <s v="Europe"/>
    <n v="89"/>
    <x v="0"/>
  </r>
  <r>
    <x v="376"/>
    <s v="M"/>
    <x v="1"/>
    <n v="20000"/>
    <n v="1"/>
    <s v="Bachelors"/>
    <s v="Clerical"/>
    <s v="Yes"/>
    <n v="0"/>
    <s v="0-1 Miles"/>
    <s v="Europe"/>
    <n v="64"/>
    <x v="1"/>
  </r>
  <r>
    <x v="377"/>
    <s v="M"/>
    <x v="1"/>
    <n v="130000"/>
    <n v="3"/>
    <s v="Partial College"/>
    <s v="Professional"/>
    <s v="No"/>
    <n v="3"/>
    <s v="5-10 Miles"/>
    <s v="Europe"/>
    <n v="51"/>
    <x v="1"/>
  </r>
  <r>
    <x v="378"/>
    <s v="M"/>
    <x v="1"/>
    <n v="30000"/>
    <n v="3"/>
    <s v="Partial College"/>
    <s v="Clerical"/>
    <s v="No"/>
    <n v="2"/>
    <s v="5-10 Miles"/>
    <s v="Pacific"/>
    <n v="56"/>
    <x v="0"/>
  </r>
  <r>
    <x v="379"/>
    <s v="M"/>
    <x v="1"/>
    <n v="60000"/>
    <n v="3"/>
    <s v="Bachelors"/>
    <s v="Professional"/>
    <s v="Yes"/>
    <n v="2"/>
    <s v="5-10 Miles"/>
    <s v="Pacific"/>
    <n v="43"/>
    <x v="0"/>
  </r>
  <r>
    <x v="380"/>
    <s v="S"/>
    <x v="1"/>
    <n v="70000"/>
    <n v="0"/>
    <s v="Bachelors"/>
    <s v="Professional"/>
    <s v="No"/>
    <n v="3"/>
    <s v="10+ Miles"/>
    <s v="Pacific"/>
    <n v="30"/>
    <x v="1"/>
  </r>
  <r>
    <x v="381"/>
    <s v="M"/>
    <x v="0"/>
    <n v="30000"/>
    <n v="2"/>
    <s v="Partial College"/>
    <s v="Clerical"/>
    <s v="Yes"/>
    <n v="2"/>
    <s v="5-10 Miles"/>
    <s v="Pacific"/>
    <n v="69"/>
    <x v="0"/>
  </r>
  <r>
    <x v="382"/>
    <s v="M"/>
    <x v="1"/>
    <n v="80000"/>
    <n v="4"/>
    <s v="Partial College"/>
    <s v="Professional"/>
    <s v="Yes"/>
    <n v="2"/>
    <s v="10+ Miles"/>
    <s v="Europe"/>
    <n v="53"/>
    <x v="0"/>
  </r>
  <r>
    <x v="383"/>
    <s v="M"/>
    <x v="1"/>
    <n v="40000"/>
    <n v="0"/>
    <s v="Graduate Degree"/>
    <s v="Clerical"/>
    <s v="Yes"/>
    <n v="0"/>
    <s v="0-1 Miles"/>
    <s v="Europe"/>
    <n v="37"/>
    <x v="1"/>
  </r>
  <r>
    <x v="384"/>
    <s v="S"/>
    <x v="0"/>
    <n v="10000"/>
    <n v="0"/>
    <s v="Partial College"/>
    <s v="Manual"/>
    <s v="No"/>
    <n v="1"/>
    <s v="0-1 Miles"/>
    <s v="Pacific"/>
    <n v="28"/>
    <x v="1"/>
  </r>
  <r>
    <x v="385"/>
    <s v="S"/>
    <x v="1"/>
    <n v="30000"/>
    <n v="3"/>
    <s v="Partial College"/>
    <s v="Clerical"/>
    <s v="Yes"/>
    <n v="0"/>
    <s v="0-1 Miles"/>
    <s v="Europe"/>
    <n v="43"/>
    <x v="0"/>
  </r>
  <r>
    <x v="386"/>
    <s v="S"/>
    <x v="0"/>
    <n v="120000"/>
    <n v="0"/>
    <s v="Partial High School"/>
    <s v="Professional"/>
    <s v="Yes"/>
    <n v="4"/>
    <s v="10+ Miles"/>
    <s v="Pacific"/>
    <n v="34"/>
    <x v="1"/>
  </r>
  <r>
    <x v="387"/>
    <s v="S"/>
    <x v="0"/>
    <n v="20000"/>
    <n v="0"/>
    <s v="Partial High School"/>
    <s v="Manual"/>
    <s v="No"/>
    <n v="2"/>
    <s v="1-2 Miles"/>
    <s v="Europe"/>
    <n v="34"/>
    <x v="1"/>
  </r>
  <r>
    <x v="388"/>
    <s v="M"/>
    <x v="0"/>
    <n v="30000"/>
    <n v="1"/>
    <s v="Bachelors"/>
    <s v="Clerical"/>
    <s v="Yes"/>
    <n v="0"/>
    <s v="0-1 Miles"/>
    <s v="Europe"/>
    <n v="64"/>
    <x v="0"/>
  </r>
  <r>
    <x v="389"/>
    <s v="M"/>
    <x v="0"/>
    <n v="80000"/>
    <n v="0"/>
    <s v="Bachelors"/>
    <s v="Professional"/>
    <s v="Yes"/>
    <n v="1"/>
    <s v="1-2 Miles"/>
    <s v="Pacific"/>
    <n v="41"/>
    <x v="1"/>
  </r>
  <r>
    <x v="390"/>
    <s v="S"/>
    <x v="1"/>
    <n v="70000"/>
    <n v="0"/>
    <s v="Bachelors"/>
    <s v="Professional"/>
    <s v="No"/>
    <n v="1"/>
    <s v="5-10 Miles"/>
    <s v="Pacific"/>
    <n v="38"/>
    <x v="0"/>
  </r>
  <r>
    <x v="391"/>
    <s v="S"/>
    <x v="0"/>
    <n v="70000"/>
    <n v="0"/>
    <s v="Bachelors"/>
    <s v="Professional"/>
    <s v="No"/>
    <n v="1"/>
    <s v="0-1 Miles"/>
    <s v="Pacific"/>
    <n v="41"/>
    <x v="1"/>
  </r>
  <r>
    <x v="392"/>
    <s v="S"/>
    <x v="1"/>
    <n v="20000"/>
    <n v="1"/>
    <s v="Bachelors"/>
    <s v="Clerical"/>
    <s v="No"/>
    <n v="0"/>
    <s v="0-1 Miles"/>
    <s v="Europe"/>
    <n v="51"/>
    <x v="0"/>
  </r>
  <r>
    <x v="393"/>
    <s v="M"/>
    <x v="0"/>
    <n v="10000"/>
    <n v="0"/>
    <s v="Partial High School"/>
    <s v="Manual"/>
    <s v="Yes"/>
    <n v="2"/>
    <s v="1-2 Miles"/>
    <s v="Europe"/>
    <n v="32"/>
    <x v="0"/>
  </r>
  <r>
    <x v="394"/>
    <s v="M"/>
    <x v="0"/>
    <n v="40000"/>
    <n v="0"/>
    <s v="Bachelors"/>
    <s v="Clerical"/>
    <s v="Yes"/>
    <n v="0"/>
    <s v="0-1 Miles"/>
    <s v="Europe"/>
    <n v="38"/>
    <x v="1"/>
  </r>
  <r>
    <x v="395"/>
    <s v="M"/>
    <x v="1"/>
    <n v="30000"/>
    <n v="1"/>
    <s v="Bachelors"/>
    <s v="Clerical"/>
    <s v="Yes"/>
    <n v="0"/>
    <s v="0-1 Miles"/>
    <s v="Europe"/>
    <n v="38"/>
    <x v="1"/>
  </r>
  <r>
    <x v="396"/>
    <s v="S"/>
    <x v="1"/>
    <n v="60000"/>
    <n v="2"/>
    <s v="Bachelors"/>
    <s v="Professional"/>
    <s v="Yes"/>
    <n v="1"/>
    <s v="2-5 Miles"/>
    <s v="Pacific"/>
    <n v="38"/>
    <x v="1"/>
  </r>
  <r>
    <x v="397"/>
    <s v="M"/>
    <x v="0"/>
    <n v="10000"/>
    <n v="2"/>
    <s v="Partial High School"/>
    <s v="Clerical"/>
    <s v="Yes"/>
    <n v="2"/>
    <s v="5-10 Miles"/>
    <s v="Pacific"/>
    <n v="58"/>
    <x v="0"/>
  </r>
  <r>
    <x v="398"/>
    <s v="S"/>
    <x v="1"/>
    <n v="30000"/>
    <n v="1"/>
    <s v="Bachelors"/>
    <s v="Clerical"/>
    <s v="Yes"/>
    <n v="1"/>
    <s v="1-2 Miles"/>
    <s v="Europe"/>
    <n v="39"/>
    <x v="1"/>
  </r>
  <r>
    <x v="399"/>
    <s v="S"/>
    <x v="0"/>
    <n v="40000"/>
    <n v="2"/>
    <s v="Bachelors"/>
    <s v="Management"/>
    <s v="No"/>
    <n v="1"/>
    <s v="5-10 Miles"/>
    <s v="Pacific"/>
    <n v="53"/>
    <x v="1"/>
  </r>
  <r>
    <x v="400"/>
    <s v="S"/>
    <x v="0"/>
    <n v="110000"/>
    <n v="3"/>
    <s v="Bachelors"/>
    <s v="Management"/>
    <s v="Yes"/>
    <n v="4"/>
    <s v="10+ Miles"/>
    <s v="Europe"/>
    <n v="53"/>
    <x v="0"/>
  </r>
  <r>
    <x v="401"/>
    <s v="M"/>
    <x v="0"/>
    <n v="40000"/>
    <n v="1"/>
    <s v="Bachelors"/>
    <s v="Clerical"/>
    <s v="Yes"/>
    <n v="0"/>
    <s v="0-1 Miles"/>
    <s v="Europe"/>
    <n v="80"/>
    <x v="0"/>
  </r>
  <r>
    <x v="402"/>
    <s v="M"/>
    <x v="1"/>
    <n v="10000"/>
    <n v="1"/>
    <s v="Graduate Degree"/>
    <s v="Manual"/>
    <s v="Yes"/>
    <n v="0"/>
    <s v="0-1 Miles"/>
    <s v="Europe"/>
    <n v="44"/>
    <x v="0"/>
  </r>
  <r>
    <x v="403"/>
    <s v="M"/>
    <x v="1"/>
    <n v="20000"/>
    <n v="1"/>
    <s v="Graduate Degree"/>
    <s v="Clerical"/>
    <s v="Yes"/>
    <n v="0"/>
    <s v="0-1 Miles"/>
    <s v="Europe"/>
    <n v="44"/>
    <x v="0"/>
  </r>
  <r>
    <x v="404"/>
    <s v="M"/>
    <x v="1"/>
    <n v="30000"/>
    <n v="3"/>
    <s v="High School"/>
    <s v="Skilled Manual"/>
    <s v="Yes"/>
    <n v="2"/>
    <s v="5-10 Miles"/>
    <s v="Pacific"/>
    <n v="54"/>
    <x v="1"/>
  </r>
  <r>
    <x v="405"/>
    <s v="M"/>
    <x v="0"/>
    <n v="30000"/>
    <n v="0"/>
    <s v="Bachelors"/>
    <s v="Clerical"/>
    <s v="Yes"/>
    <n v="0"/>
    <s v="0-1 Miles"/>
    <s v="Europe"/>
    <n v="37"/>
    <x v="1"/>
  </r>
  <r>
    <x v="406"/>
    <s v="M"/>
    <x v="0"/>
    <n v="40000"/>
    <n v="1"/>
    <s v="Bachelors"/>
    <s v="Skilled Manual"/>
    <s v="Yes"/>
    <n v="0"/>
    <s v="0-1 Miles"/>
    <s v="Europe"/>
    <n v="41"/>
    <x v="0"/>
  </r>
  <r>
    <x v="407"/>
    <s v="S"/>
    <x v="0"/>
    <n v="90000"/>
    <n v="2"/>
    <s v="Bachelors"/>
    <s v="Professional"/>
    <s v="No"/>
    <n v="0"/>
    <s v="0-1 Miles"/>
    <s v="Pacific"/>
    <n v="36"/>
    <x v="1"/>
  </r>
  <r>
    <x v="408"/>
    <s v="S"/>
    <x v="0"/>
    <n v="40000"/>
    <n v="2"/>
    <s v="Partial College"/>
    <s v="Clerical"/>
    <s v="Yes"/>
    <n v="0"/>
    <s v="0-1 Miles"/>
    <s v="Europe"/>
    <n v="33"/>
    <x v="0"/>
  </r>
  <r>
    <x v="409"/>
    <s v="M"/>
    <x v="0"/>
    <n v="130000"/>
    <n v="3"/>
    <s v="Partial College"/>
    <s v="Professional"/>
    <s v="Yes"/>
    <n v="4"/>
    <s v="0-1 Miles"/>
    <s v="Europe"/>
    <n v="52"/>
    <x v="0"/>
  </r>
  <r>
    <x v="410"/>
    <s v="M"/>
    <x v="0"/>
    <n v="20000"/>
    <n v="2"/>
    <s v="Partial College"/>
    <s v="Manual"/>
    <s v="Yes"/>
    <n v="1"/>
    <s v="0-1 Miles"/>
    <s v="Europe"/>
    <n v="46"/>
    <x v="1"/>
  </r>
  <r>
    <x v="411"/>
    <s v="M"/>
    <x v="1"/>
    <n v="70000"/>
    <n v="5"/>
    <s v="Partial College"/>
    <s v="Skilled Manual"/>
    <s v="Yes"/>
    <n v="2"/>
    <s v="5-10 Miles"/>
    <s v="Pacific"/>
    <n v="43"/>
    <x v="0"/>
  </r>
  <r>
    <x v="412"/>
    <s v="S"/>
    <x v="1"/>
    <n v="40000"/>
    <n v="2"/>
    <s v="Partial College"/>
    <s v="Clerical"/>
    <s v="Yes"/>
    <n v="0"/>
    <s v="0-1 Miles"/>
    <s v="Europe"/>
    <n v="34"/>
    <x v="0"/>
  </r>
  <r>
    <x v="413"/>
    <s v="S"/>
    <x v="0"/>
    <n v="30000"/>
    <n v="2"/>
    <s v="Partial College"/>
    <s v="Clerical"/>
    <s v="No"/>
    <n v="2"/>
    <s v="5-10 Miles"/>
    <s v="Pacific"/>
    <n v="67"/>
    <x v="0"/>
  </r>
  <r>
    <x v="414"/>
    <s v="M"/>
    <x v="0"/>
    <n v="40000"/>
    <n v="0"/>
    <s v="Graduate Degree"/>
    <s v="Clerical"/>
    <s v="Yes"/>
    <n v="0"/>
    <s v="0-1 Miles"/>
    <s v="Europe"/>
    <n v="35"/>
    <x v="1"/>
  </r>
  <r>
    <x v="415"/>
    <s v="M"/>
    <x v="0"/>
    <n v="80000"/>
    <n v="5"/>
    <s v="Graduate Degree"/>
    <s v="Management"/>
    <s v="Yes"/>
    <n v="3"/>
    <s v="0-1 Miles"/>
    <s v="Pacific"/>
    <n v="40"/>
    <x v="0"/>
  </r>
  <r>
    <x v="416"/>
    <s v="S"/>
    <x v="1"/>
    <n v="60000"/>
    <n v="2"/>
    <s v="Bachelors"/>
    <s v="Professional"/>
    <s v="No"/>
    <n v="1"/>
    <s v="0-1 Miles"/>
    <s v="Pacific"/>
    <n v="37"/>
    <x v="1"/>
  </r>
  <r>
    <x v="417"/>
    <s v="S"/>
    <x v="0"/>
    <n v="30000"/>
    <n v="2"/>
    <s v="Partial College"/>
    <s v="Clerical"/>
    <s v="No"/>
    <n v="2"/>
    <s v="5-10 Miles"/>
    <s v="Pacific"/>
    <n v="67"/>
    <x v="0"/>
  </r>
  <r>
    <x v="418"/>
    <s v="M"/>
    <x v="1"/>
    <n v="30000"/>
    <n v="1"/>
    <s v="Bachelors"/>
    <s v="Skilled Manual"/>
    <s v="Yes"/>
    <n v="2"/>
    <s v="0-1 Miles"/>
    <s v="Europe"/>
    <n v="41"/>
    <x v="1"/>
  </r>
  <r>
    <x v="419"/>
    <s v="S"/>
    <x v="1"/>
    <n v="10000"/>
    <n v="2"/>
    <s v="Partial College"/>
    <s v="Manual"/>
    <s v="Yes"/>
    <n v="1"/>
    <s v="0-1 Miles"/>
    <s v="Europe"/>
    <n v="51"/>
    <x v="1"/>
  </r>
  <r>
    <x v="420"/>
    <s v="M"/>
    <x v="0"/>
    <n v="100000"/>
    <n v="2"/>
    <s v="Bachelors"/>
    <s v="Management"/>
    <s v="Yes"/>
    <n v="4"/>
    <s v="10+ Miles"/>
    <s v="Europe"/>
    <n v="59"/>
    <x v="0"/>
  </r>
  <r>
    <x v="421"/>
    <s v="M"/>
    <x v="1"/>
    <n v="10000"/>
    <n v="2"/>
    <s v="Partial College"/>
    <s v="Manual"/>
    <s v="Yes"/>
    <n v="0"/>
    <s v="1-2 Miles"/>
    <s v="Europe"/>
    <n v="51"/>
    <x v="0"/>
  </r>
  <r>
    <x v="422"/>
    <s v="S"/>
    <x v="1"/>
    <n v="110000"/>
    <n v="0"/>
    <s v="Partial College"/>
    <s v="Management"/>
    <s v="No"/>
    <n v="3"/>
    <s v="10+ Miles"/>
    <s v="Pacific"/>
    <n v="32"/>
    <x v="1"/>
  </r>
  <r>
    <x v="423"/>
    <s v="S"/>
    <x v="1"/>
    <n v="30000"/>
    <n v="0"/>
    <s v="High School"/>
    <s v="Manual"/>
    <s v="Yes"/>
    <n v="1"/>
    <s v="2-5 Miles"/>
    <s v="Europe"/>
    <n v="34"/>
    <x v="1"/>
  </r>
  <r>
    <x v="424"/>
    <s v="S"/>
    <x v="0"/>
    <n v="10000"/>
    <n v="3"/>
    <s v="Partial High School"/>
    <s v="Manual"/>
    <s v="Yes"/>
    <n v="2"/>
    <s v="0-1 Miles"/>
    <s v="Europe"/>
    <n v="43"/>
    <x v="0"/>
  </r>
  <r>
    <x v="425"/>
    <s v="M"/>
    <x v="1"/>
    <n v="40000"/>
    <n v="2"/>
    <s v="Bachelors"/>
    <s v="Management"/>
    <s v="Yes"/>
    <n v="2"/>
    <s v="0-1 Miles"/>
    <s v="Pacific"/>
    <n v="67"/>
    <x v="0"/>
  </r>
  <r>
    <x v="426"/>
    <s v="S"/>
    <x v="1"/>
    <n v="30000"/>
    <n v="0"/>
    <s v="Partial College"/>
    <s v="Clerical"/>
    <s v="No"/>
    <n v="1"/>
    <s v="2-5 Miles"/>
    <s v="Europe"/>
    <n v="28"/>
    <x v="0"/>
  </r>
  <r>
    <x v="427"/>
    <s v="S"/>
    <x v="0"/>
    <n v="90000"/>
    <n v="1"/>
    <s v="Graduate Degree"/>
    <s v="Management"/>
    <s v="Yes"/>
    <n v="0"/>
    <s v="0-1 Miles"/>
    <s v="Pacific"/>
    <n v="36"/>
    <x v="1"/>
  </r>
  <r>
    <x v="428"/>
    <s v="M"/>
    <x v="1"/>
    <n v="110000"/>
    <n v="4"/>
    <s v="Bachelors"/>
    <s v="Management"/>
    <s v="Yes"/>
    <n v="3"/>
    <s v="2-5 Miles"/>
    <s v="Pacific"/>
    <n v="48"/>
    <x v="0"/>
  </r>
  <r>
    <x v="429"/>
    <s v="S"/>
    <x v="0"/>
    <n v="30000"/>
    <n v="0"/>
    <s v="Partial College"/>
    <s v="Clerical"/>
    <s v="Yes"/>
    <n v="1"/>
    <s v="2-5 Miles"/>
    <s v="Europe"/>
    <n v="31"/>
    <x v="0"/>
  </r>
  <r>
    <x v="430"/>
    <s v="S"/>
    <x v="0"/>
    <n v="30000"/>
    <n v="3"/>
    <s v="High School"/>
    <s v="Skilled Manual"/>
    <s v="Yes"/>
    <n v="2"/>
    <s v="5-10 Miles"/>
    <s v="Pacific"/>
    <n v="55"/>
    <x v="0"/>
  </r>
  <r>
    <x v="431"/>
    <s v="S"/>
    <x v="1"/>
    <n v="20000"/>
    <n v="0"/>
    <s v="Partial College"/>
    <s v="Manual"/>
    <s v="Yes"/>
    <n v="0"/>
    <s v="0-1 Miles"/>
    <s v="Pacific"/>
    <n v="28"/>
    <x v="1"/>
  </r>
  <r>
    <x v="432"/>
    <s v="M"/>
    <x v="0"/>
    <n v="110000"/>
    <n v="0"/>
    <s v="High School"/>
    <s v="Management"/>
    <s v="Yes"/>
    <n v="3"/>
    <s v="10+ Miles"/>
    <s v="Pacific"/>
    <n v="34"/>
    <x v="1"/>
  </r>
  <r>
    <x v="433"/>
    <s v="S"/>
    <x v="0"/>
    <n v="30000"/>
    <n v="3"/>
    <s v="Partial College"/>
    <s v="Clerical"/>
    <s v="No"/>
    <n v="1"/>
    <s v="0-1 Miles"/>
    <s v="Europe"/>
    <n v="26"/>
    <x v="0"/>
  </r>
  <r>
    <x v="434"/>
    <s v="M"/>
    <x v="0"/>
    <n v="30000"/>
    <n v="3"/>
    <s v="High School"/>
    <s v="Skilled Manual"/>
    <s v="Yes"/>
    <n v="2"/>
    <s v="5-10 Miles"/>
    <s v="Pacific"/>
    <n v="53"/>
    <x v="1"/>
  </r>
  <r>
    <x v="435"/>
    <s v="S"/>
    <x v="0"/>
    <n v="10000"/>
    <n v="2"/>
    <s v="Bachelors"/>
    <s v="Clerical"/>
    <s v="No"/>
    <n v="1"/>
    <s v="2-5 Miles"/>
    <s v="Europe"/>
    <n v="68"/>
    <x v="0"/>
  </r>
  <r>
    <x v="436"/>
    <s v="M"/>
    <x v="0"/>
    <n v="80000"/>
    <n v="2"/>
    <s v="High School"/>
    <s v="Skilled Manual"/>
    <s v="Yes"/>
    <n v="2"/>
    <s v="5-10 Miles"/>
    <s v="Pacific"/>
    <n v="50"/>
    <x v="1"/>
  </r>
  <r>
    <x v="437"/>
    <s v="S"/>
    <x v="0"/>
    <n v="30000"/>
    <n v="3"/>
    <s v="Partial College"/>
    <s v="Clerical"/>
    <s v="Yes"/>
    <n v="2"/>
    <s v="0-1 Miles"/>
    <s v="Europe"/>
    <n v="28"/>
    <x v="1"/>
  </r>
  <r>
    <x v="438"/>
    <s v="S"/>
    <x v="0"/>
    <n v="80000"/>
    <n v="0"/>
    <s v="Graduate Degree"/>
    <s v="Skilled Manual"/>
    <s v="No"/>
    <n v="0"/>
    <s v="0-1 Miles"/>
    <s v="Europe"/>
    <n v="40"/>
    <x v="1"/>
  </r>
  <r>
    <x v="439"/>
    <s v="M"/>
    <x v="1"/>
    <n v="70000"/>
    <n v="5"/>
    <s v="Partial College"/>
    <s v="Skilled Manual"/>
    <s v="Yes"/>
    <n v="2"/>
    <s v="0-1 Miles"/>
    <s v="Pacific"/>
    <n v="44"/>
    <x v="0"/>
  </r>
  <r>
    <x v="440"/>
    <s v="S"/>
    <x v="1"/>
    <n v="90000"/>
    <n v="0"/>
    <s v="Bachelors"/>
    <s v="Professional"/>
    <s v="No"/>
    <n v="3"/>
    <s v="10+ Miles"/>
    <s v="Pacific"/>
    <n v="34"/>
    <x v="1"/>
  </r>
  <r>
    <x v="441"/>
    <s v="M"/>
    <x v="1"/>
    <n v="70000"/>
    <n v="2"/>
    <s v="Partial College"/>
    <s v="Skilled Manual"/>
    <s v="Yes"/>
    <n v="2"/>
    <s v="5-10 Miles"/>
    <s v="Pacific"/>
    <n v="52"/>
    <x v="1"/>
  </r>
  <r>
    <x v="442"/>
    <s v="S"/>
    <x v="1"/>
    <n v="80000"/>
    <n v="4"/>
    <s v="Graduate Degree"/>
    <s v="Management"/>
    <s v="Yes"/>
    <n v="0"/>
    <s v="0-1 Miles"/>
    <s v="Pacific"/>
    <n v="36"/>
    <x v="1"/>
  </r>
  <r>
    <x v="443"/>
    <s v="M"/>
    <x v="0"/>
    <n v="40000"/>
    <n v="1"/>
    <s v="Bachelors"/>
    <s v="Skilled Manual"/>
    <s v="Yes"/>
    <n v="1"/>
    <s v="0-1 Miles"/>
    <s v="Europe"/>
    <n v="43"/>
    <x v="1"/>
  </r>
  <r>
    <x v="444"/>
    <s v="S"/>
    <x v="1"/>
    <n v="30000"/>
    <n v="0"/>
    <s v="High School"/>
    <s v="Manual"/>
    <s v="No"/>
    <n v="1"/>
    <s v="1-2 Miles"/>
    <s v="Europe"/>
    <n v="32"/>
    <x v="0"/>
  </r>
  <r>
    <x v="445"/>
    <s v="M"/>
    <x v="0"/>
    <n v="40000"/>
    <n v="1"/>
    <s v="Bachelors"/>
    <s v="Skilled Manual"/>
    <s v="Yes"/>
    <n v="1"/>
    <s v="1-2 Miles"/>
    <s v="Europe"/>
    <n v="32"/>
    <x v="1"/>
  </r>
  <r>
    <x v="446"/>
    <s v="M"/>
    <x v="0"/>
    <n v="130000"/>
    <n v="0"/>
    <s v="Graduate Degree"/>
    <s v="Management"/>
    <s v="Yes"/>
    <n v="1"/>
    <s v="10+ Miles"/>
    <s v="Pacific"/>
    <n v="48"/>
    <x v="0"/>
  </r>
  <r>
    <x v="447"/>
    <s v="M"/>
    <x v="0"/>
    <n v="40000"/>
    <n v="1"/>
    <s v="Bachelors"/>
    <s v="Skilled Manual"/>
    <s v="Yes"/>
    <n v="0"/>
    <s v="1-2 Miles"/>
    <s v="Europe"/>
    <n v="32"/>
    <x v="1"/>
  </r>
  <r>
    <x v="448"/>
    <s v="M"/>
    <x v="0"/>
    <n v="30000"/>
    <n v="3"/>
    <s v="Graduate Degree"/>
    <s v="Clerical"/>
    <s v="Yes"/>
    <n v="0"/>
    <s v="0-1 Miles"/>
    <s v="Europe"/>
    <n v="46"/>
    <x v="0"/>
  </r>
  <r>
    <x v="449"/>
    <s v="M"/>
    <x v="0"/>
    <n v="40000"/>
    <n v="1"/>
    <s v="Bachelors"/>
    <s v="Skilled Manual"/>
    <s v="Yes"/>
    <n v="0"/>
    <s v="0-1 Miles"/>
    <s v="Europe"/>
    <n v="42"/>
    <x v="0"/>
  </r>
  <r>
    <x v="450"/>
    <s v="S"/>
    <x v="0"/>
    <n v="10000"/>
    <n v="2"/>
    <s v="High School"/>
    <s v="Manual"/>
    <s v="Yes"/>
    <n v="0"/>
    <s v="0-1 Miles"/>
    <s v="Europe"/>
    <n v="36"/>
    <x v="1"/>
  </r>
  <r>
    <x v="451"/>
    <s v="M"/>
    <x v="0"/>
    <n v="40000"/>
    <n v="1"/>
    <s v="Bachelors"/>
    <s v="Skilled Manual"/>
    <s v="Yes"/>
    <n v="0"/>
    <s v="0-1 Miles"/>
    <s v="Europe"/>
    <n v="41"/>
    <x v="0"/>
  </r>
  <r>
    <x v="452"/>
    <s v="M"/>
    <x v="0"/>
    <n v="30000"/>
    <n v="2"/>
    <s v="Partial College"/>
    <s v="Clerical"/>
    <s v="No"/>
    <n v="2"/>
    <s v="0-1 Miles"/>
    <s v="Pacific"/>
    <n v="69"/>
    <x v="0"/>
  </r>
  <r>
    <x v="453"/>
    <s v="S"/>
    <x v="0"/>
    <n v="70000"/>
    <n v="5"/>
    <s v="Partial College"/>
    <s v="Skilled Manual"/>
    <s v="Yes"/>
    <n v="2"/>
    <s v="5-10 Miles"/>
    <s v="Pacific"/>
    <n v="45"/>
    <x v="0"/>
  </r>
  <r>
    <x v="454"/>
    <s v="S"/>
    <x v="1"/>
    <n v="30000"/>
    <n v="0"/>
    <s v="High School"/>
    <s v="Manual"/>
    <s v="No"/>
    <n v="1"/>
    <s v="2-5 Miles"/>
    <s v="Europe"/>
    <n v="34"/>
    <x v="0"/>
  </r>
  <r>
    <x v="455"/>
    <s v="M"/>
    <x v="0"/>
    <n v="80000"/>
    <n v="4"/>
    <s v="Partial College"/>
    <s v="Professional"/>
    <s v="No"/>
    <n v="1"/>
    <s v="2-5 Miles"/>
    <s v="Europe"/>
    <n v="53"/>
    <x v="1"/>
  </r>
  <r>
    <x v="456"/>
    <s v="S"/>
    <x v="1"/>
    <n v="120000"/>
    <n v="3"/>
    <s v="High School"/>
    <s v="Professional"/>
    <s v="No"/>
    <n v="4"/>
    <s v="5-10 Miles"/>
    <s v="Europe"/>
    <n v="50"/>
    <x v="0"/>
  </r>
  <r>
    <x v="457"/>
    <s v="M"/>
    <x v="0"/>
    <n v="20000"/>
    <n v="1"/>
    <s v="Partial College"/>
    <s v="Manual"/>
    <s v="Yes"/>
    <n v="0"/>
    <s v="0-1 Miles"/>
    <s v="Europe"/>
    <n v="65"/>
    <x v="0"/>
  </r>
  <r>
    <x v="458"/>
    <s v="M"/>
    <x v="1"/>
    <n v="120000"/>
    <n v="0"/>
    <s v="Partial High School"/>
    <s v="Professional"/>
    <s v="Yes"/>
    <n v="4"/>
    <s v="10+ Miles"/>
    <s v="Pacific"/>
    <n v="32"/>
    <x v="1"/>
  </r>
  <r>
    <x v="459"/>
    <s v="S"/>
    <x v="0"/>
    <n v="80000"/>
    <n v="0"/>
    <s v="Bachelors"/>
    <s v="Professional"/>
    <s v="No"/>
    <n v="3"/>
    <s v="10+ Miles"/>
    <s v="Pacific"/>
    <n v="33"/>
    <x v="0"/>
  </r>
  <r>
    <x v="460"/>
    <s v="S"/>
    <x v="1"/>
    <n v="20000"/>
    <n v="0"/>
    <s v="Partial High School"/>
    <s v="Manual"/>
    <s v="Yes"/>
    <n v="2"/>
    <s v="1-2 Miles"/>
    <s v="Europe"/>
    <n v="31"/>
    <x v="1"/>
  </r>
  <r>
    <x v="461"/>
    <s v="M"/>
    <x v="0"/>
    <n v="120000"/>
    <n v="1"/>
    <s v="Bachelors"/>
    <s v="Management"/>
    <s v="Yes"/>
    <n v="2"/>
    <s v="0-1 Miles"/>
    <s v="Pacific"/>
    <n v="46"/>
    <x v="1"/>
  </r>
  <r>
    <x v="462"/>
    <s v="M"/>
    <x v="0"/>
    <n v="40000"/>
    <n v="0"/>
    <s v="Bachelors"/>
    <s v="Clerical"/>
    <s v="Yes"/>
    <n v="0"/>
    <s v="0-1 Miles"/>
    <s v="Europe"/>
    <n v="39"/>
    <x v="1"/>
  </r>
  <r>
    <x v="463"/>
    <s v="S"/>
    <x v="1"/>
    <n v="20000"/>
    <n v="2"/>
    <s v="High School"/>
    <s v="Manual"/>
    <s v="Yes"/>
    <n v="1"/>
    <s v="0-1 Miles"/>
    <s v="Europe"/>
    <n v="40"/>
    <x v="0"/>
  </r>
  <r>
    <x v="464"/>
    <s v="S"/>
    <x v="0"/>
    <n v="30000"/>
    <n v="3"/>
    <s v="Bachelors"/>
    <s v="Clerical"/>
    <s v="Yes"/>
    <n v="0"/>
    <s v="0-1 Miles"/>
    <s v="Europe"/>
    <n v="46"/>
    <x v="1"/>
  </r>
  <r>
    <x v="465"/>
    <s v="M"/>
    <x v="1"/>
    <n v="40000"/>
    <n v="2"/>
    <s v="Bachelors"/>
    <s v="Management"/>
    <s v="Yes"/>
    <n v="2"/>
    <s v="0-1 Miles"/>
    <s v="Pacific"/>
    <n v="65"/>
    <x v="0"/>
  </r>
  <r>
    <x v="466"/>
    <s v="S"/>
    <x v="0"/>
    <n v="30000"/>
    <n v="3"/>
    <s v="Bachelors"/>
    <s v="Clerical"/>
    <s v="Yes"/>
    <n v="0"/>
    <s v="0-1 Miles"/>
    <s v="Europe"/>
    <n v="47"/>
    <x v="1"/>
  </r>
  <r>
    <x v="467"/>
    <s v="S"/>
    <x v="1"/>
    <n v="100000"/>
    <n v="1"/>
    <s v="Bachelors"/>
    <s v="Management"/>
    <s v="No"/>
    <n v="3"/>
    <s v="0-1 Miles"/>
    <s v="Pacific"/>
    <n v="46"/>
    <x v="1"/>
  </r>
  <r>
    <x v="468"/>
    <s v="M"/>
    <x v="0"/>
    <n v="80000"/>
    <n v="5"/>
    <s v="Graduate Degree"/>
    <s v="Management"/>
    <s v="Yes"/>
    <n v="3"/>
    <s v="0-1 Miles"/>
    <s v="Pacific"/>
    <n v="40"/>
    <x v="0"/>
  </r>
  <r>
    <x v="469"/>
    <s v="M"/>
    <x v="0"/>
    <n v="30000"/>
    <n v="1"/>
    <s v="Bachelors"/>
    <s v="Clerical"/>
    <s v="Yes"/>
    <n v="0"/>
    <s v="0-1 Miles"/>
    <s v="Europe"/>
    <n v="65"/>
    <x v="0"/>
  </r>
  <r>
    <x v="470"/>
    <s v="S"/>
    <x v="1"/>
    <n v="30000"/>
    <n v="0"/>
    <s v="High School"/>
    <s v="Manual"/>
    <s v="No"/>
    <n v="1"/>
    <s v="1-2 Miles"/>
    <s v="Europe"/>
    <n v="28"/>
    <x v="0"/>
  </r>
  <r>
    <x v="471"/>
    <s v="S"/>
    <x v="1"/>
    <n v="70000"/>
    <n v="0"/>
    <s v="Bachelors"/>
    <s v="Professional"/>
    <s v="No"/>
    <n v="2"/>
    <s v="5-10 Miles"/>
    <s v="Pacific"/>
    <n v="43"/>
    <x v="1"/>
  </r>
  <r>
    <x v="472"/>
    <s v="S"/>
    <x v="0"/>
    <n v="40000"/>
    <n v="0"/>
    <s v="Graduate Degree"/>
    <s v="Clerical"/>
    <s v="Yes"/>
    <n v="0"/>
    <s v="0-1 Miles"/>
    <s v="Europe"/>
    <n v="38"/>
    <x v="1"/>
  </r>
  <r>
    <x v="473"/>
    <s v="M"/>
    <x v="0"/>
    <n v="30000"/>
    <n v="0"/>
    <s v="Bachelors"/>
    <s v="Clerical"/>
    <s v="Yes"/>
    <n v="0"/>
    <s v="0-1 Miles"/>
    <s v="Europe"/>
    <n v="47"/>
    <x v="1"/>
  </r>
  <r>
    <x v="474"/>
    <s v="M"/>
    <x v="0"/>
    <n v="90000"/>
    <n v="2"/>
    <s v="Bachelors"/>
    <s v="Professional"/>
    <s v="No"/>
    <n v="0"/>
    <s v="0-1 Miles"/>
    <s v="Pacific"/>
    <n v="36"/>
    <x v="1"/>
  </r>
  <r>
    <x v="475"/>
    <s v="M"/>
    <x v="1"/>
    <n v="20000"/>
    <n v="4"/>
    <s v="High School"/>
    <s v="Skilled Manual"/>
    <s v="No"/>
    <n v="2"/>
    <s v="1-2 Miles"/>
    <s v="Pacific"/>
    <n v="60"/>
    <x v="0"/>
  </r>
  <r>
    <x v="476"/>
    <s v="S"/>
    <x v="0"/>
    <n v="70000"/>
    <n v="0"/>
    <s v="Bachelors"/>
    <s v="Professional"/>
    <s v="Yes"/>
    <n v="1"/>
    <s v="5-10 Miles"/>
    <s v="Pacific"/>
    <n v="42"/>
    <x v="1"/>
  </r>
  <r>
    <x v="477"/>
    <s v="M"/>
    <x v="1"/>
    <n v="70000"/>
    <n v="2"/>
    <s v="High School"/>
    <s v="Skilled Manual"/>
    <s v="No"/>
    <n v="2"/>
    <s v="1-2 Miles"/>
    <s v="Pacific"/>
    <n v="50"/>
    <x v="1"/>
  </r>
  <r>
    <x v="478"/>
    <s v="M"/>
    <x v="1"/>
    <n v="30000"/>
    <n v="0"/>
    <s v="Bachelors"/>
    <s v="Clerical"/>
    <s v="Yes"/>
    <n v="0"/>
    <s v="0-1 Miles"/>
    <s v="Europe"/>
    <n v="35"/>
    <x v="1"/>
  </r>
  <r>
    <x v="479"/>
    <s v="M"/>
    <x v="1"/>
    <n v="40000"/>
    <n v="1"/>
    <s v="Bachelors"/>
    <s v="Skilled Manual"/>
    <s v="Yes"/>
    <n v="1"/>
    <s v="0-1 Miles"/>
    <s v="Europe"/>
    <n v="32"/>
    <x v="1"/>
  </r>
  <r>
    <x v="480"/>
    <s v="M"/>
    <x v="0"/>
    <n v="90000"/>
    <n v="1"/>
    <s v="Bachelors"/>
    <s v="Professional"/>
    <s v="Yes"/>
    <n v="1"/>
    <s v="5-10 Miles"/>
    <s v="Pacific"/>
    <n v="46"/>
    <x v="0"/>
  </r>
  <r>
    <x v="481"/>
    <s v="S"/>
    <x v="0"/>
    <n v="40000"/>
    <n v="2"/>
    <s v="Partial College"/>
    <s v="Clerical"/>
    <s v="Yes"/>
    <n v="0"/>
    <s v="1-2 Miles"/>
    <s v="Europe"/>
    <n v="33"/>
    <x v="1"/>
  </r>
  <r>
    <x v="482"/>
    <s v="S"/>
    <x v="1"/>
    <n v="40000"/>
    <n v="0"/>
    <s v="Graduate Degree"/>
    <s v="Clerical"/>
    <s v="No"/>
    <n v="0"/>
    <s v="0-1 Miles"/>
    <s v="Europe"/>
    <n v="36"/>
    <x v="1"/>
  </r>
  <r>
    <x v="483"/>
    <s v="M"/>
    <x v="1"/>
    <n v="10000"/>
    <n v="1"/>
    <s v="Graduate Degree"/>
    <s v="Clerical"/>
    <s v="Yes"/>
    <n v="0"/>
    <s v="0-1 Miles"/>
    <s v="Europe"/>
    <n v="70"/>
    <x v="0"/>
  </r>
  <r>
    <x v="484"/>
    <s v="S"/>
    <x v="0"/>
    <n v="30000"/>
    <n v="0"/>
    <s v="Partial College"/>
    <s v="Clerical"/>
    <s v="No"/>
    <n v="1"/>
    <s v="2-5 Miles"/>
    <s v="Europe"/>
    <n v="31"/>
    <x v="1"/>
  </r>
  <r>
    <x v="485"/>
    <s v="S"/>
    <x v="1"/>
    <n v="30000"/>
    <n v="2"/>
    <s v="Partial College"/>
    <s v="Clerical"/>
    <s v="Yes"/>
    <n v="2"/>
    <s v="0-1 Miles"/>
    <s v="Europe"/>
    <n v="42"/>
    <x v="0"/>
  </r>
  <r>
    <x v="486"/>
    <s v="M"/>
    <x v="0"/>
    <n v="90000"/>
    <n v="4"/>
    <s v="Partial High School"/>
    <s v="Skilled Manual"/>
    <s v="Yes"/>
    <n v="4"/>
    <s v="10+ Miles"/>
    <s v="Europe"/>
    <n v="58"/>
    <x v="0"/>
  </r>
  <r>
    <x v="487"/>
    <s v="M"/>
    <x v="1"/>
    <n v="40000"/>
    <n v="0"/>
    <s v="Bachelors"/>
    <s v="Clerical"/>
    <s v="Yes"/>
    <n v="0"/>
    <s v="0-1 Miles"/>
    <s v="Europe"/>
    <n v="39"/>
    <x v="0"/>
  </r>
  <r>
    <x v="488"/>
    <s v="S"/>
    <x v="0"/>
    <n v="10000"/>
    <n v="0"/>
    <s v="Partial High School"/>
    <s v="Manual"/>
    <s v="Yes"/>
    <n v="2"/>
    <s v="1-2 Miles"/>
    <s v="Europe"/>
    <n v="34"/>
    <x v="0"/>
  </r>
  <r>
    <x v="489"/>
    <s v="M"/>
    <x v="1"/>
    <n v="20000"/>
    <n v="0"/>
    <s v="Partial High School"/>
    <s v="Manual"/>
    <s v="Yes"/>
    <n v="2"/>
    <s v="0-1 Miles"/>
    <s v="Europe"/>
    <n v="32"/>
    <x v="0"/>
  </r>
  <r>
    <x v="490"/>
    <s v="M"/>
    <x v="1"/>
    <n v="60000"/>
    <n v="4"/>
    <s v="Bachelors"/>
    <s v="Professional"/>
    <s v="Yes"/>
    <n v="0"/>
    <s v="2-5 Miles"/>
    <s v="North America"/>
    <n v="46"/>
    <x v="0"/>
  </r>
  <r>
    <x v="491"/>
    <s v="M"/>
    <x v="1"/>
    <n v="70000"/>
    <n v="2"/>
    <s v="Partial High School"/>
    <s v="Skilled Manual"/>
    <s v="Yes"/>
    <n v="2"/>
    <s v="5-10 Miles"/>
    <s v="North America"/>
    <n v="48"/>
    <x v="0"/>
  </r>
  <r>
    <x v="492"/>
    <s v="S"/>
    <x v="0"/>
    <n v="40000"/>
    <n v="3"/>
    <s v="Partial College"/>
    <s v="Clerical"/>
    <s v="Yes"/>
    <n v="1"/>
    <s v="1-2 Miles"/>
    <s v="North America"/>
    <n v="31"/>
    <x v="1"/>
  </r>
  <r>
    <x v="493"/>
    <s v="S"/>
    <x v="1"/>
    <n v="70000"/>
    <n v="5"/>
    <s v="Bachelors"/>
    <s v="Management"/>
    <s v="Yes"/>
    <n v="3"/>
    <s v="10+ Miles"/>
    <s v="North America"/>
    <n v="60"/>
    <x v="1"/>
  </r>
  <r>
    <x v="494"/>
    <s v="M"/>
    <x v="1"/>
    <n v="70000"/>
    <n v="4"/>
    <s v="High School"/>
    <s v="Professional"/>
    <s v="Yes"/>
    <n v="0"/>
    <s v="5-10 Miles"/>
    <s v="North America"/>
    <n v="51"/>
    <x v="0"/>
  </r>
  <r>
    <x v="495"/>
    <s v="M"/>
    <x v="1"/>
    <n v="60000"/>
    <n v="2"/>
    <s v="Partial College"/>
    <s v="Professional"/>
    <s v="Yes"/>
    <n v="2"/>
    <s v="10+ Miles"/>
    <s v="North America"/>
    <n v="56"/>
    <x v="0"/>
  </r>
  <r>
    <x v="496"/>
    <s v="S"/>
    <x v="0"/>
    <n v="60000"/>
    <n v="3"/>
    <s v="Bachelors"/>
    <s v="Skilled Manual"/>
    <s v="Yes"/>
    <n v="1"/>
    <s v="2-5 Miles"/>
    <s v="North America"/>
    <n v="40"/>
    <x v="1"/>
  </r>
  <r>
    <x v="497"/>
    <s v="S"/>
    <x v="0"/>
    <n v="70000"/>
    <n v="1"/>
    <s v="Graduate Degree"/>
    <s v="Professional"/>
    <s v="Yes"/>
    <n v="0"/>
    <s v="2-5 Miles"/>
    <s v="North America"/>
    <n v="34"/>
    <x v="1"/>
  </r>
  <r>
    <x v="498"/>
    <s v="M"/>
    <x v="1"/>
    <n v="80000"/>
    <n v="1"/>
    <s v="Partial College"/>
    <s v="Skilled Manual"/>
    <s v="Yes"/>
    <n v="1"/>
    <s v="2-5 Miles"/>
    <s v="North America"/>
    <n v="48"/>
    <x v="1"/>
  </r>
  <r>
    <x v="499"/>
    <s v="S"/>
    <x v="0"/>
    <n v="40000"/>
    <n v="0"/>
    <s v="High School"/>
    <s v="Skilled Manual"/>
    <s v="No"/>
    <n v="2"/>
    <s v="1-2 Miles"/>
    <s v="North America"/>
    <n v="31"/>
    <x v="1"/>
  </r>
  <r>
    <x v="500"/>
    <s v="M"/>
    <x v="1"/>
    <n v="60000"/>
    <n v="5"/>
    <s v="Bachelors"/>
    <s v="Professional"/>
    <s v="Yes"/>
    <n v="1"/>
    <s v="2-5 Miles"/>
    <s v="North America"/>
    <n v="47"/>
    <x v="0"/>
  </r>
  <r>
    <x v="501"/>
    <s v="M"/>
    <x v="0"/>
    <n v="50000"/>
    <n v="0"/>
    <s v="Graduate Degree"/>
    <s v="Skilled Manual"/>
    <s v="Yes"/>
    <n v="0"/>
    <s v="0-1 Miles"/>
    <s v="North America"/>
    <n v="34"/>
    <x v="0"/>
  </r>
  <r>
    <x v="502"/>
    <s v="M"/>
    <x v="1"/>
    <n v="40000"/>
    <n v="0"/>
    <s v="Partial College"/>
    <s v="Skilled Manual"/>
    <s v="Yes"/>
    <n v="1"/>
    <s v="5-10 Miles"/>
    <s v="North America"/>
    <n v="29"/>
    <x v="0"/>
  </r>
  <r>
    <x v="503"/>
    <s v="M"/>
    <x v="0"/>
    <n v="130000"/>
    <n v="1"/>
    <s v="Bachelors"/>
    <s v="Management"/>
    <s v="Yes"/>
    <n v="4"/>
    <s v="2-5 Miles"/>
    <s v="North America"/>
    <n v="44"/>
    <x v="1"/>
  </r>
  <r>
    <x v="504"/>
    <s v="M"/>
    <x v="1"/>
    <n v="70000"/>
    <n v="2"/>
    <s v="Bachelors"/>
    <s v="Skilled Manual"/>
    <s v="Yes"/>
    <n v="1"/>
    <s v="2-5 Miles"/>
    <s v="North America"/>
    <n v="38"/>
    <x v="1"/>
  </r>
  <r>
    <x v="505"/>
    <s v="M"/>
    <x v="1"/>
    <n v="100000"/>
    <n v="4"/>
    <s v="Partial College"/>
    <s v="Professional"/>
    <s v="Yes"/>
    <n v="4"/>
    <s v="0-1 Miles"/>
    <s v="North America"/>
    <n v="40"/>
    <x v="0"/>
  </r>
  <r>
    <x v="506"/>
    <s v="M"/>
    <x v="0"/>
    <n v="70000"/>
    <n v="4"/>
    <s v="Bachelors"/>
    <s v="Professional"/>
    <s v="Yes"/>
    <n v="2"/>
    <s v="2-5 Miles"/>
    <s v="North America"/>
    <n v="42"/>
    <x v="1"/>
  </r>
  <r>
    <x v="507"/>
    <s v="M"/>
    <x v="0"/>
    <n v="40000"/>
    <n v="1"/>
    <s v="Partial College"/>
    <s v="Clerical"/>
    <s v="Yes"/>
    <n v="1"/>
    <s v="1-2 Miles"/>
    <s v="North America"/>
    <n v="51"/>
    <x v="1"/>
  </r>
  <r>
    <x v="508"/>
    <s v="M"/>
    <x v="1"/>
    <n v="60000"/>
    <n v="0"/>
    <s v="Partial College"/>
    <s v="Skilled Manual"/>
    <s v="No"/>
    <n v="2"/>
    <s v="1-2 Miles"/>
    <s v="North America"/>
    <n v="29"/>
    <x v="0"/>
  </r>
  <r>
    <x v="509"/>
    <s v="M"/>
    <x v="1"/>
    <n v="80000"/>
    <n v="3"/>
    <s v="Bachelors"/>
    <s v="Professional"/>
    <s v="Yes"/>
    <n v="1"/>
    <s v="2-5 Miles"/>
    <s v="North America"/>
    <n v="48"/>
    <x v="1"/>
  </r>
  <r>
    <x v="510"/>
    <s v="S"/>
    <x v="1"/>
    <n v="70000"/>
    <n v="0"/>
    <s v="Bachelors"/>
    <s v="Professional"/>
    <s v="No"/>
    <n v="1"/>
    <s v="2-5 Miles"/>
    <s v="North America"/>
    <n v="37"/>
    <x v="1"/>
  </r>
  <r>
    <x v="511"/>
    <s v="S"/>
    <x v="1"/>
    <n v="80000"/>
    <n v="4"/>
    <s v="Bachelors"/>
    <s v="Management"/>
    <s v="Yes"/>
    <n v="0"/>
    <s v="5-10 Miles"/>
    <s v="North America"/>
    <n v="66"/>
    <x v="1"/>
  </r>
  <r>
    <x v="512"/>
    <s v="M"/>
    <x v="0"/>
    <n v="60000"/>
    <n v="1"/>
    <s v="Partial College"/>
    <s v="Skilled Manual"/>
    <s v="Yes"/>
    <n v="1"/>
    <s v="0-1 Miles"/>
    <s v="North America"/>
    <n v="45"/>
    <x v="1"/>
  </r>
  <r>
    <x v="513"/>
    <s v="S"/>
    <x v="0"/>
    <n v="60000"/>
    <n v="4"/>
    <s v="Graduate Degree"/>
    <s v="Management"/>
    <s v="Yes"/>
    <n v="2"/>
    <s v="10+ Miles"/>
    <s v="North America"/>
    <n v="61"/>
    <x v="1"/>
  </r>
  <r>
    <x v="514"/>
    <s v="S"/>
    <x v="1"/>
    <n v="40000"/>
    <n v="0"/>
    <s v="Bachelors"/>
    <s v="Professional"/>
    <s v="No"/>
    <n v="1"/>
    <s v="2-5 Miles"/>
    <s v="North America"/>
    <n v="45"/>
    <x v="0"/>
  </r>
  <r>
    <x v="515"/>
    <s v="M"/>
    <x v="0"/>
    <n v="70000"/>
    <n v="5"/>
    <s v="Bachelors"/>
    <s v="Professional"/>
    <s v="Yes"/>
    <n v="2"/>
    <s v="2-5 Miles"/>
    <s v="North America"/>
    <n v="47"/>
    <x v="0"/>
  </r>
  <r>
    <x v="516"/>
    <s v="M"/>
    <x v="0"/>
    <n v="60000"/>
    <n v="2"/>
    <s v="High School"/>
    <s v="Professional"/>
    <s v="Yes"/>
    <n v="2"/>
    <s v="5-10 Miles"/>
    <s v="North America"/>
    <n v="49"/>
    <x v="0"/>
  </r>
  <r>
    <x v="517"/>
    <s v="S"/>
    <x v="1"/>
    <n v="60000"/>
    <n v="3"/>
    <s v="Bachelors"/>
    <s v="Professional"/>
    <s v="No"/>
    <n v="0"/>
    <s v="0-1 Miles"/>
    <s v="North America"/>
    <n v="47"/>
    <x v="1"/>
  </r>
  <r>
    <x v="518"/>
    <s v="M"/>
    <x v="0"/>
    <n v="80000"/>
    <n v="0"/>
    <s v="Bachelors"/>
    <s v="Management"/>
    <s v="Yes"/>
    <n v="1"/>
    <s v="1-2 Miles"/>
    <s v="North America"/>
    <n v="34"/>
    <x v="1"/>
  </r>
  <r>
    <x v="519"/>
    <s v="M"/>
    <x v="1"/>
    <n v="80000"/>
    <n v="5"/>
    <s v="Bachelors"/>
    <s v="Management"/>
    <s v="Yes"/>
    <n v="2"/>
    <s v="1-2 Miles"/>
    <s v="North America"/>
    <n v="64"/>
    <x v="0"/>
  </r>
  <r>
    <x v="520"/>
    <s v="S"/>
    <x v="1"/>
    <n v="100000"/>
    <n v="1"/>
    <s v="Partial College"/>
    <s v="Professional"/>
    <s v="No"/>
    <n v="3"/>
    <s v="1-2 Miles"/>
    <s v="North America"/>
    <n v="44"/>
    <x v="0"/>
  </r>
  <r>
    <x v="521"/>
    <s v="S"/>
    <x v="1"/>
    <n v="40000"/>
    <n v="4"/>
    <s v="High School"/>
    <s v="Professional"/>
    <s v="Yes"/>
    <n v="2"/>
    <s v="10+ Miles"/>
    <s v="North America"/>
    <n v="62"/>
    <x v="1"/>
  </r>
  <r>
    <x v="522"/>
    <s v="S"/>
    <x v="1"/>
    <n v="60000"/>
    <n v="3"/>
    <s v="Bachelors"/>
    <s v="Professional"/>
    <s v="No"/>
    <n v="1"/>
    <s v="0-1 Miles"/>
    <s v="North America"/>
    <n v="47"/>
    <x v="1"/>
  </r>
  <r>
    <x v="523"/>
    <s v="M"/>
    <x v="1"/>
    <n v="80000"/>
    <n v="3"/>
    <s v="Partial College"/>
    <s v="Professional"/>
    <s v="No"/>
    <n v="2"/>
    <s v="0-1 Miles"/>
    <s v="North America"/>
    <n v="49"/>
    <x v="1"/>
  </r>
  <r>
    <x v="524"/>
    <s v="S"/>
    <x v="0"/>
    <n v="80000"/>
    <n v="4"/>
    <s v="Graduate Degree"/>
    <s v="Management"/>
    <s v="Yes"/>
    <n v="2"/>
    <s v="5-10 Miles"/>
    <s v="North America"/>
    <n v="67"/>
    <x v="0"/>
  </r>
  <r>
    <x v="525"/>
    <s v="S"/>
    <x v="1"/>
    <n v="60000"/>
    <n v="5"/>
    <s v="Bachelors"/>
    <s v="Management"/>
    <s v="Yes"/>
    <n v="3"/>
    <s v="10+ Miles"/>
    <s v="North America"/>
    <n v="59"/>
    <x v="1"/>
  </r>
  <r>
    <x v="526"/>
    <s v="M"/>
    <x v="0"/>
    <n v="110000"/>
    <n v="1"/>
    <s v="Bachelors"/>
    <s v="Management"/>
    <s v="Yes"/>
    <n v="2"/>
    <s v="1-2 Miles"/>
    <s v="North America"/>
    <n v="44"/>
    <x v="0"/>
  </r>
  <r>
    <x v="527"/>
    <s v="M"/>
    <x v="1"/>
    <n v="50000"/>
    <n v="1"/>
    <s v="Bachelors"/>
    <s v="Skilled Manual"/>
    <s v="Yes"/>
    <n v="0"/>
    <s v="0-1 Miles"/>
    <s v="North America"/>
    <n v="36"/>
    <x v="0"/>
  </r>
  <r>
    <x v="528"/>
    <s v="S"/>
    <x v="0"/>
    <n v="30000"/>
    <n v="0"/>
    <s v="Partial College"/>
    <s v="Skilled Manual"/>
    <s v="Yes"/>
    <n v="1"/>
    <s v="5-10 Miles"/>
    <s v="North America"/>
    <n v="28"/>
    <x v="0"/>
  </r>
  <r>
    <x v="529"/>
    <s v="M"/>
    <x v="1"/>
    <n v="60000"/>
    <n v="2"/>
    <s v="Partial College"/>
    <s v="Professional"/>
    <s v="Yes"/>
    <n v="1"/>
    <s v="10+ Miles"/>
    <s v="North America"/>
    <n v="57"/>
    <x v="1"/>
  </r>
  <r>
    <x v="530"/>
    <s v="M"/>
    <x v="1"/>
    <n v="60000"/>
    <n v="0"/>
    <s v="Partial College"/>
    <s v="Skilled Manual"/>
    <s v="Yes"/>
    <n v="1"/>
    <s v="5-10 Miles"/>
    <s v="North America"/>
    <n v="27"/>
    <x v="1"/>
  </r>
  <r>
    <x v="531"/>
    <s v="S"/>
    <x v="1"/>
    <n v="30000"/>
    <n v="0"/>
    <s v="Partial High School"/>
    <s v="Clerical"/>
    <s v="Yes"/>
    <n v="2"/>
    <s v="5-10 Miles"/>
    <s v="North America"/>
    <n v="28"/>
    <x v="0"/>
  </r>
  <r>
    <x v="532"/>
    <s v="S"/>
    <x v="0"/>
    <n v="60000"/>
    <n v="1"/>
    <s v="Bachelors"/>
    <s v="Professional"/>
    <s v="No"/>
    <n v="1"/>
    <s v="0-1 Miles"/>
    <s v="North America"/>
    <n v="44"/>
    <x v="1"/>
  </r>
  <r>
    <x v="533"/>
    <s v="M"/>
    <x v="1"/>
    <n v="60000"/>
    <n v="3"/>
    <s v="Bachelors"/>
    <s v="Management"/>
    <s v="Yes"/>
    <n v="2"/>
    <s v="10+ Miles"/>
    <s v="North America"/>
    <n v="66"/>
    <x v="0"/>
  </r>
  <r>
    <x v="534"/>
    <s v="M"/>
    <x v="1"/>
    <n v="40000"/>
    <n v="4"/>
    <s v="High School"/>
    <s v="Professional"/>
    <s v="Yes"/>
    <n v="2"/>
    <s v="10+ Miles"/>
    <s v="North America"/>
    <n v="64"/>
    <x v="0"/>
  </r>
  <r>
    <x v="535"/>
    <s v="M"/>
    <x v="1"/>
    <n v="50000"/>
    <n v="3"/>
    <s v="Bachelors"/>
    <s v="Skilled Manual"/>
    <s v="Yes"/>
    <n v="3"/>
    <s v="10+ Miles"/>
    <s v="North America"/>
    <n v="41"/>
    <x v="0"/>
  </r>
  <r>
    <x v="536"/>
    <s v="S"/>
    <x v="0"/>
    <n v="80000"/>
    <n v="3"/>
    <s v="Bachelors"/>
    <s v="Skilled Manual"/>
    <s v="Yes"/>
    <n v="1"/>
    <s v="0-1 Miles"/>
    <s v="North America"/>
    <n v="41"/>
    <x v="1"/>
  </r>
  <r>
    <x v="537"/>
    <s v="M"/>
    <x v="0"/>
    <n v="40000"/>
    <n v="1"/>
    <s v="Partial College"/>
    <s v="Clerical"/>
    <s v="Yes"/>
    <n v="1"/>
    <s v="1-2 Miles"/>
    <s v="North America"/>
    <n v="49"/>
    <x v="1"/>
  </r>
  <r>
    <x v="538"/>
    <s v="M"/>
    <x v="0"/>
    <n v="80000"/>
    <n v="4"/>
    <s v="Bachelors"/>
    <s v="Management"/>
    <s v="Yes"/>
    <n v="0"/>
    <s v="0-1 Miles"/>
    <s v="North America"/>
    <n v="42"/>
    <x v="0"/>
  </r>
  <r>
    <x v="539"/>
    <s v="S"/>
    <x v="0"/>
    <n v="70000"/>
    <n v="0"/>
    <s v="Bachelors"/>
    <s v="Professional"/>
    <s v="No"/>
    <n v="1"/>
    <s v="2-5 Miles"/>
    <s v="North America"/>
    <n v="37"/>
    <x v="1"/>
  </r>
  <r>
    <x v="540"/>
    <s v="S"/>
    <x v="0"/>
    <n v="70000"/>
    <n v="3"/>
    <s v="Graduate Degree"/>
    <s v="Management"/>
    <s v="Yes"/>
    <n v="2"/>
    <s v="1-2 Miles"/>
    <s v="North America"/>
    <n v="52"/>
    <x v="0"/>
  </r>
  <r>
    <x v="541"/>
    <s v="M"/>
    <x v="1"/>
    <n v="50000"/>
    <n v="1"/>
    <s v="Graduate Degree"/>
    <s v="Skilled Manual"/>
    <s v="Yes"/>
    <n v="0"/>
    <s v="1-2 Miles"/>
    <s v="North America"/>
    <n v="34"/>
    <x v="0"/>
  </r>
  <r>
    <x v="542"/>
    <s v="M"/>
    <x v="1"/>
    <n v="40000"/>
    <n v="0"/>
    <s v="High School"/>
    <s v="Skilled Manual"/>
    <s v="Yes"/>
    <n v="2"/>
    <s v="5-10 Miles"/>
    <s v="North America"/>
    <n v="29"/>
    <x v="0"/>
  </r>
  <r>
    <x v="543"/>
    <s v="M"/>
    <x v="0"/>
    <n v="70000"/>
    <n v="2"/>
    <s v="High School"/>
    <s v="Professional"/>
    <s v="Yes"/>
    <n v="2"/>
    <s v="2-5 Miles"/>
    <s v="North America"/>
    <n v="53"/>
    <x v="0"/>
  </r>
  <r>
    <x v="544"/>
    <s v="S"/>
    <x v="1"/>
    <n v="120000"/>
    <n v="2"/>
    <s v="Bachelors"/>
    <s v="Management"/>
    <s v="No"/>
    <n v="4"/>
    <s v="1-2 Miles"/>
    <s v="North America"/>
    <n v="40"/>
    <x v="0"/>
  </r>
  <r>
    <x v="545"/>
    <s v="S"/>
    <x v="1"/>
    <n v="60000"/>
    <n v="0"/>
    <s v="Partial College"/>
    <s v="Skilled Manual"/>
    <s v="No"/>
    <n v="2"/>
    <s v="1-2 Miles"/>
    <s v="North America"/>
    <n v="29"/>
    <x v="0"/>
  </r>
  <r>
    <x v="546"/>
    <s v="M"/>
    <x v="1"/>
    <n v="60000"/>
    <n v="4"/>
    <s v="Bachelors"/>
    <s v="Professional"/>
    <s v="Yes"/>
    <n v="2"/>
    <s v="2-5 Miles"/>
    <s v="North America"/>
    <n v="43"/>
    <x v="1"/>
  </r>
  <r>
    <x v="547"/>
    <s v="M"/>
    <x v="1"/>
    <n v="60000"/>
    <n v="2"/>
    <s v="High School"/>
    <s v="Professional"/>
    <s v="Yes"/>
    <n v="2"/>
    <s v="2-5 Miles"/>
    <s v="North America"/>
    <n v="55"/>
    <x v="1"/>
  </r>
  <r>
    <x v="548"/>
    <s v="S"/>
    <x v="0"/>
    <n v="80000"/>
    <n v="4"/>
    <s v="Graduate Degree"/>
    <s v="Skilled Manual"/>
    <s v="No"/>
    <n v="0"/>
    <s v="0-1 Miles"/>
    <s v="North America"/>
    <n v="48"/>
    <x v="0"/>
  </r>
  <r>
    <x v="549"/>
    <s v="M"/>
    <x v="0"/>
    <n v="130000"/>
    <n v="3"/>
    <s v="Bachelors"/>
    <s v="Management"/>
    <s v="Yes"/>
    <n v="3"/>
    <s v="0-1 Miles"/>
    <s v="North America"/>
    <n v="45"/>
    <x v="1"/>
  </r>
  <r>
    <x v="550"/>
    <s v="S"/>
    <x v="0"/>
    <n v="70000"/>
    <n v="0"/>
    <s v="Bachelors"/>
    <s v="Professional"/>
    <s v="No"/>
    <n v="1"/>
    <s v="0-1 Miles"/>
    <s v="Pacific"/>
    <n v="42"/>
    <x v="1"/>
  </r>
  <r>
    <x v="551"/>
    <s v="M"/>
    <x v="0"/>
    <n v="50000"/>
    <n v="4"/>
    <s v="Bachelors"/>
    <s v="Management"/>
    <s v="Yes"/>
    <n v="2"/>
    <s v="10+ Miles"/>
    <s v="North America"/>
    <n v="63"/>
    <x v="0"/>
  </r>
  <r>
    <x v="552"/>
    <s v="S"/>
    <x v="1"/>
    <n v="60000"/>
    <n v="3"/>
    <s v="High School"/>
    <s v="Professional"/>
    <s v="Yes"/>
    <n v="2"/>
    <s v="10+ Miles"/>
    <s v="North America"/>
    <n v="54"/>
    <x v="1"/>
  </r>
  <r>
    <x v="553"/>
    <s v="M"/>
    <x v="1"/>
    <n v="40000"/>
    <n v="3"/>
    <s v="Partial College"/>
    <s v="Professional"/>
    <s v="No"/>
    <n v="2"/>
    <s v="5-10 Miles"/>
    <s v="North America"/>
    <n v="73"/>
    <x v="1"/>
  </r>
  <r>
    <x v="554"/>
    <s v="M"/>
    <x v="0"/>
    <n v="60000"/>
    <n v="2"/>
    <s v="Graduate Degree"/>
    <s v="Professional"/>
    <s v="Yes"/>
    <n v="0"/>
    <s v="2-5 Miles"/>
    <s v="North America"/>
    <n v="40"/>
    <x v="1"/>
  </r>
  <r>
    <x v="555"/>
    <s v="S"/>
    <x v="1"/>
    <n v="50000"/>
    <n v="0"/>
    <s v="Partial College"/>
    <s v="Skilled Manual"/>
    <s v="No"/>
    <n v="1"/>
    <s v="2-5 Miles"/>
    <s v="North America"/>
    <n v="39"/>
    <x v="1"/>
  </r>
  <r>
    <x v="556"/>
    <s v="M"/>
    <x v="1"/>
    <n v="80000"/>
    <n v="4"/>
    <s v="Bachelors"/>
    <s v="Management"/>
    <s v="Yes"/>
    <n v="0"/>
    <s v="1-2 Miles"/>
    <s v="North America"/>
    <n v="42"/>
    <x v="0"/>
  </r>
  <r>
    <x v="557"/>
    <s v="M"/>
    <x v="0"/>
    <n v="40000"/>
    <n v="3"/>
    <s v="Partial College"/>
    <s v="Clerical"/>
    <s v="Yes"/>
    <n v="0"/>
    <s v="1-2 Miles"/>
    <s v="North America"/>
    <n v="31"/>
    <x v="0"/>
  </r>
  <r>
    <x v="558"/>
    <s v="M"/>
    <x v="0"/>
    <n v="50000"/>
    <n v="3"/>
    <s v="Bachelors"/>
    <s v="Skilled Manual"/>
    <s v="Yes"/>
    <n v="2"/>
    <s v="0-1 Miles"/>
    <s v="North America"/>
    <n v="41"/>
    <x v="0"/>
  </r>
  <r>
    <x v="559"/>
    <s v="S"/>
    <x v="0"/>
    <n v="60000"/>
    <n v="2"/>
    <s v="Bachelors"/>
    <s v="Management"/>
    <s v="Yes"/>
    <n v="0"/>
    <s v="10+ Miles"/>
    <s v="North America"/>
    <n v="58"/>
    <x v="0"/>
  </r>
  <r>
    <x v="560"/>
    <s v="M"/>
    <x v="0"/>
    <n v="60000"/>
    <n v="0"/>
    <s v="Graduate Degree"/>
    <s v="Professional"/>
    <s v="Yes"/>
    <n v="0"/>
    <s v="0-1 Miles"/>
    <s v="North America"/>
    <n v="40"/>
    <x v="0"/>
  </r>
  <r>
    <x v="561"/>
    <s v="M"/>
    <x v="0"/>
    <n v="20000"/>
    <n v="2"/>
    <s v="Partial High School"/>
    <s v="Clerical"/>
    <s v="No"/>
    <n v="0"/>
    <s v="0-1 Miles"/>
    <s v="North America"/>
    <n v="48"/>
    <x v="0"/>
  </r>
  <r>
    <x v="562"/>
    <s v="M"/>
    <x v="0"/>
    <n v="70000"/>
    <n v="2"/>
    <s v="Graduate Degree"/>
    <s v="Professional"/>
    <s v="Yes"/>
    <n v="0"/>
    <s v="2-5 Miles"/>
    <s v="North America"/>
    <n v="34"/>
    <x v="1"/>
  </r>
  <r>
    <x v="563"/>
    <s v="S"/>
    <x v="0"/>
    <n v="30000"/>
    <n v="0"/>
    <s v="Partial College"/>
    <s v="Skilled Manual"/>
    <s v="Yes"/>
    <n v="1"/>
    <s v="5-10 Miles"/>
    <s v="North America"/>
    <n v="28"/>
    <x v="0"/>
  </r>
  <r>
    <x v="564"/>
    <s v="S"/>
    <x v="1"/>
    <n v="30000"/>
    <n v="0"/>
    <s v="Partial College"/>
    <s v="Skilled Manual"/>
    <s v="Yes"/>
    <n v="1"/>
    <s v="5-10 Miles"/>
    <s v="North America"/>
    <n v="27"/>
    <x v="0"/>
  </r>
  <r>
    <x v="565"/>
    <s v="M"/>
    <x v="1"/>
    <n v="40000"/>
    <n v="3"/>
    <s v="Partial College"/>
    <s v="Professional"/>
    <s v="No"/>
    <n v="2"/>
    <s v="5-10 Miles"/>
    <s v="North America"/>
    <n v="54"/>
    <x v="1"/>
  </r>
  <r>
    <x v="566"/>
    <s v="M"/>
    <x v="0"/>
    <n v="60000"/>
    <n v="2"/>
    <s v="Graduate Degree"/>
    <s v="Management"/>
    <s v="Yes"/>
    <n v="2"/>
    <s v="5-10 Miles"/>
    <s v="North America"/>
    <n v="70"/>
    <x v="0"/>
  </r>
  <r>
    <x v="567"/>
    <s v="M"/>
    <x v="1"/>
    <n v="40000"/>
    <n v="1"/>
    <s v="Partial College"/>
    <s v="Clerical"/>
    <s v="Yes"/>
    <n v="1"/>
    <s v="1-2 Miles"/>
    <s v="North America"/>
    <n v="48"/>
    <x v="1"/>
  </r>
  <r>
    <x v="568"/>
    <s v="M"/>
    <x v="1"/>
    <n v="70000"/>
    <n v="1"/>
    <s v="Partial College"/>
    <s v="Skilled Manual"/>
    <s v="Yes"/>
    <n v="1"/>
    <s v="2-5 Miles"/>
    <s v="North America"/>
    <n v="44"/>
    <x v="1"/>
  </r>
  <r>
    <x v="569"/>
    <s v="S"/>
    <x v="1"/>
    <n v="50000"/>
    <n v="3"/>
    <s v="Graduate Degree"/>
    <s v="Management"/>
    <s v="Yes"/>
    <n v="2"/>
    <s v="10+ Miles"/>
    <s v="North America"/>
    <n v="69"/>
    <x v="0"/>
  </r>
  <r>
    <x v="570"/>
    <s v="M"/>
    <x v="1"/>
    <n v="70000"/>
    <n v="3"/>
    <s v="Partial High School"/>
    <s v="Skilled Manual"/>
    <s v="Yes"/>
    <n v="2"/>
    <s v="5-10 Miles"/>
    <s v="North America"/>
    <n v="52"/>
    <x v="0"/>
  </r>
  <r>
    <x v="571"/>
    <s v="M"/>
    <x v="1"/>
    <n v="40000"/>
    <n v="2"/>
    <s v="Partial High School"/>
    <s v="Skilled Manual"/>
    <s v="Yes"/>
    <n v="2"/>
    <s v="2-5 Miles"/>
    <s v="North America"/>
    <n v="55"/>
    <x v="0"/>
  </r>
  <r>
    <x v="572"/>
    <s v="S"/>
    <x v="1"/>
    <n v="30000"/>
    <n v="0"/>
    <s v="High School"/>
    <s v="Skilled Manual"/>
    <s v="Yes"/>
    <n v="2"/>
    <s v="5-10 Miles"/>
    <s v="North America"/>
    <n v="30"/>
    <x v="0"/>
  </r>
  <r>
    <x v="573"/>
    <s v="M"/>
    <x v="1"/>
    <n v="60000"/>
    <n v="3"/>
    <s v="Graduate Degree"/>
    <s v="Management"/>
    <s v="Yes"/>
    <n v="2"/>
    <s v="1-2 Miles"/>
    <s v="North America"/>
    <n v="63"/>
    <x v="0"/>
  </r>
  <r>
    <x v="574"/>
    <s v="S"/>
    <x v="0"/>
    <n v="80000"/>
    <n v="0"/>
    <s v="Bachelors"/>
    <s v="Management"/>
    <s v="Yes"/>
    <n v="1"/>
    <s v="1-2 Miles"/>
    <s v="North America"/>
    <n v="34"/>
    <x v="1"/>
  </r>
  <r>
    <x v="575"/>
    <s v="S"/>
    <x v="1"/>
    <n v="60000"/>
    <n v="2"/>
    <s v="Partial College"/>
    <s v="Professional"/>
    <s v="Yes"/>
    <n v="1"/>
    <s v="10+ Miles"/>
    <s v="North America"/>
    <n v="56"/>
    <x v="0"/>
  </r>
  <r>
    <x v="576"/>
    <s v="S"/>
    <x v="0"/>
    <n v="40000"/>
    <n v="0"/>
    <s v="High School"/>
    <s v="Skilled Manual"/>
    <s v="Yes"/>
    <n v="1"/>
    <s v="5-10 Miles"/>
    <s v="North America"/>
    <n v="31"/>
    <x v="0"/>
  </r>
  <r>
    <x v="577"/>
    <s v="M"/>
    <x v="1"/>
    <n v="120000"/>
    <n v="1"/>
    <s v="Bachelors"/>
    <s v="Management"/>
    <s v="Yes"/>
    <n v="4"/>
    <s v="0-1 Miles"/>
    <s v="North America"/>
    <n v="38"/>
    <x v="0"/>
  </r>
  <r>
    <x v="578"/>
    <s v="M"/>
    <x v="1"/>
    <n v="60000"/>
    <n v="4"/>
    <s v="Bachelors"/>
    <s v="Management"/>
    <s v="Yes"/>
    <n v="2"/>
    <s v="2-5 Miles"/>
    <s v="North America"/>
    <n v="59"/>
    <x v="0"/>
  </r>
  <r>
    <x v="579"/>
    <s v="S"/>
    <x v="0"/>
    <n v="40000"/>
    <n v="3"/>
    <s v="Partial College"/>
    <s v="Clerical"/>
    <s v="No"/>
    <n v="2"/>
    <s v="0-1 Miles"/>
    <s v="North America"/>
    <n v="32"/>
    <x v="0"/>
  </r>
  <r>
    <x v="580"/>
    <s v="M"/>
    <x v="0"/>
    <n v="60000"/>
    <n v="3"/>
    <s v="Graduate Degree"/>
    <s v="Management"/>
    <s v="Yes"/>
    <n v="2"/>
    <s v="10+ Miles"/>
    <s v="North America"/>
    <n v="69"/>
    <x v="0"/>
  </r>
  <r>
    <x v="581"/>
    <s v="M"/>
    <x v="1"/>
    <n v="40000"/>
    <n v="0"/>
    <s v="Partial College"/>
    <s v="Skilled Manual"/>
    <s v="Yes"/>
    <n v="1"/>
    <s v="5-10 Miles"/>
    <s v="North America"/>
    <n v="28"/>
    <x v="0"/>
  </r>
  <r>
    <x v="582"/>
    <s v="M"/>
    <x v="1"/>
    <n v="80000"/>
    <n v="4"/>
    <s v="Graduate Degree"/>
    <s v="Skilled Manual"/>
    <s v="Yes"/>
    <n v="0"/>
    <s v="1-2 Miles"/>
    <s v="North America"/>
    <n v="47"/>
    <x v="0"/>
  </r>
  <r>
    <x v="583"/>
    <s v="M"/>
    <x v="1"/>
    <n v="60000"/>
    <n v="3"/>
    <s v="Bachelors"/>
    <s v="Management"/>
    <s v="Yes"/>
    <n v="2"/>
    <s v="10+ Miles"/>
    <s v="North America"/>
    <n v="66"/>
    <x v="0"/>
  </r>
  <r>
    <x v="584"/>
    <s v="S"/>
    <x v="1"/>
    <n v="70000"/>
    <n v="2"/>
    <s v="Bachelors"/>
    <s v="Skilled Manual"/>
    <s v="No"/>
    <n v="1"/>
    <s v="0-1 Miles"/>
    <s v="North America"/>
    <n v="37"/>
    <x v="1"/>
  </r>
  <r>
    <x v="585"/>
    <s v="S"/>
    <x v="1"/>
    <n v="120000"/>
    <n v="2"/>
    <s v="Bachelors"/>
    <s v="Management"/>
    <s v="No"/>
    <n v="3"/>
    <s v="0-1 Miles"/>
    <s v="North America"/>
    <n v="39"/>
    <x v="1"/>
  </r>
  <r>
    <x v="586"/>
    <s v="M"/>
    <x v="1"/>
    <n v="60000"/>
    <n v="2"/>
    <s v="High School"/>
    <s v="Professional"/>
    <s v="No"/>
    <n v="2"/>
    <s v="1-2 Miles"/>
    <s v="North America"/>
    <n v="51"/>
    <x v="0"/>
  </r>
  <r>
    <x v="587"/>
    <s v="M"/>
    <x v="0"/>
    <n v="130000"/>
    <n v="0"/>
    <s v="Graduate Degree"/>
    <s v="Management"/>
    <s v="Yes"/>
    <n v="3"/>
    <s v="1-2 Miles"/>
    <s v="North America"/>
    <n v="40"/>
    <x v="0"/>
  </r>
  <r>
    <x v="588"/>
    <s v="M"/>
    <x v="0"/>
    <n v="90000"/>
    <n v="2"/>
    <s v="High School"/>
    <s v="Professional"/>
    <s v="Yes"/>
    <n v="1"/>
    <s v="10+ Miles"/>
    <s v="North America"/>
    <n v="51"/>
    <x v="1"/>
  </r>
  <r>
    <x v="589"/>
    <s v="S"/>
    <x v="1"/>
    <n v="60000"/>
    <n v="2"/>
    <s v="Bachelors"/>
    <s v="Management"/>
    <s v="Yes"/>
    <n v="0"/>
    <s v="10+ Miles"/>
    <s v="North America"/>
    <n v="57"/>
    <x v="0"/>
  </r>
  <r>
    <x v="590"/>
    <s v="M"/>
    <x v="0"/>
    <n v="60000"/>
    <n v="1"/>
    <s v="Graduate Degree"/>
    <s v="Professional"/>
    <s v="No"/>
    <n v="0"/>
    <s v="0-1 Miles"/>
    <s v="North America"/>
    <n v="35"/>
    <x v="1"/>
  </r>
  <r>
    <x v="591"/>
    <s v="M"/>
    <x v="1"/>
    <n v="40000"/>
    <n v="4"/>
    <s v="High School"/>
    <s v="Professional"/>
    <s v="No"/>
    <n v="2"/>
    <s v="10+ Miles"/>
    <s v="North America"/>
    <n v="61"/>
    <x v="1"/>
  </r>
  <r>
    <x v="592"/>
    <s v="S"/>
    <x v="0"/>
    <n v="80000"/>
    <n v="5"/>
    <s v="Partial College"/>
    <s v="Professional"/>
    <s v="Yes"/>
    <n v="2"/>
    <s v="5-10 Miles"/>
    <s v="North America"/>
    <n v="44"/>
    <x v="0"/>
  </r>
  <r>
    <x v="593"/>
    <s v="S"/>
    <x v="0"/>
    <n v="70000"/>
    <n v="2"/>
    <s v="Partial College"/>
    <s v="Professional"/>
    <s v="Yes"/>
    <n v="0"/>
    <s v="5-10 Miles"/>
    <s v="North America"/>
    <n v="49"/>
    <x v="1"/>
  </r>
  <r>
    <x v="594"/>
    <s v="M"/>
    <x v="1"/>
    <n v="80000"/>
    <n v="4"/>
    <s v="Graduate Degree"/>
    <s v="Management"/>
    <s v="Yes"/>
    <n v="2"/>
    <s v="5-10 Miles"/>
    <s v="North America"/>
    <n v="70"/>
    <x v="0"/>
  </r>
  <r>
    <x v="595"/>
    <s v="S"/>
    <x v="0"/>
    <n v="20000"/>
    <n v="3"/>
    <s v="High School"/>
    <s v="Skilled Manual"/>
    <s v="Yes"/>
    <n v="2"/>
    <s v="2-5 Miles"/>
    <s v="North America"/>
    <n v="78"/>
    <x v="0"/>
  </r>
  <r>
    <x v="596"/>
    <s v="M"/>
    <x v="0"/>
    <n v="90000"/>
    <n v="4"/>
    <s v="Partial College"/>
    <s v="Professional"/>
    <s v="Yes"/>
    <n v="1"/>
    <s v="1-2 Miles"/>
    <s v="North America"/>
    <n v="45"/>
    <x v="0"/>
  </r>
  <r>
    <x v="597"/>
    <s v="S"/>
    <x v="1"/>
    <n v="40000"/>
    <n v="2"/>
    <s v="High School"/>
    <s v="Professional"/>
    <s v="No"/>
    <n v="1"/>
    <s v="2-5 Miles"/>
    <s v="North America"/>
    <n v="58"/>
    <x v="1"/>
  </r>
  <r>
    <x v="598"/>
    <s v="M"/>
    <x v="1"/>
    <n v="130000"/>
    <n v="1"/>
    <s v="Graduate Degree"/>
    <s v="Management"/>
    <s v="Yes"/>
    <n v="4"/>
    <s v="0-1 Miles"/>
    <s v="North America"/>
    <n v="41"/>
    <x v="0"/>
  </r>
  <r>
    <x v="599"/>
    <s v="M"/>
    <x v="0"/>
    <n v="60000"/>
    <n v="2"/>
    <s v="Partial College"/>
    <s v="Professional"/>
    <s v="Yes"/>
    <n v="1"/>
    <s v="2-5 Miles"/>
    <s v="North America"/>
    <n v="57"/>
    <x v="1"/>
  </r>
  <r>
    <x v="600"/>
    <s v="M"/>
    <x v="1"/>
    <n v="30000"/>
    <n v="2"/>
    <s v="High School"/>
    <s v="Skilled Manual"/>
    <s v="No"/>
    <n v="2"/>
    <s v="0-1 Miles"/>
    <s v="North America"/>
    <n v="49"/>
    <x v="0"/>
  </r>
  <r>
    <x v="601"/>
    <s v="S"/>
    <x v="1"/>
    <n v="80000"/>
    <n v="4"/>
    <s v="Partial College"/>
    <s v="Professional"/>
    <s v="No"/>
    <n v="2"/>
    <s v="0-1 Miles"/>
    <s v="North America"/>
    <n v="43"/>
    <x v="0"/>
  </r>
  <r>
    <x v="602"/>
    <s v="S"/>
    <x v="1"/>
    <n v="60000"/>
    <n v="2"/>
    <s v="Partial High School"/>
    <s v="Skilled Manual"/>
    <s v="Yes"/>
    <n v="2"/>
    <s v="5-10 Miles"/>
    <s v="North America"/>
    <n v="52"/>
    <x v="1"/>
  </r>
  <r>
    <x v="603"/>
    <s v="M"/>
    <x v="1"/>
    <n v="60000"/>
    <n v="1"/>
    <s v="Graduate Degree"/>
    <s v="Professional"/>
    <s v="Yes"/>
    <n v="0"/>
    <s v="0-1 Miles"/>
    <s v="North America"/>
    <n v="35"/>
    <x v="1"/>
  </r>
  <r>
    <x v="604"/>
    <s v="M"/>
    <x v="1"/>
    <n v="40000"/>
    <n v="0"/>
    <s v="High School"/>
    <s v="Skilled Manual"/>
    <s v="Yes"/>
    <n v="2"/>
    <s v="5-10 Miles"/>
    <s v="North America"/>
    <n v="27"/>
    <x v="0"/>
  </r>
  <r>
    <x v="605"/>
    <s v="S"/>
    <x v="1"/>
    <n v="70000"/>
    <n v="3"/>
    <s v="High School"/>
    <s v="Professional"/>
    <s v="Yes"/>
    <n v="0"/>
    <s v="5-10 Miles"/>
    <s v="North America"/>
    <n v="52"/>
    <x v="1"/>
  </r>
  <r>
    <x v="606"/>
    <s v="S"/>
    <x v="1"/>
    <n v="40000"/>
    <n v="2"/>
    <s v="Bachelors"/>
    <s v="Skilled Manual"/>
    <s v="Yes"/>
    <n v="0"/>
    <s v="2-5 Miles"/>
    <s v="North America"/>
    <n v="36"/>
    <x v="0"/>
  </r>
  <r>
    <x v="607"/>
    <s v="S"/>
    <x v="0"/>
    <n v="70000"/>
    <n v="5"/>
    <s v="Graduate Degree"/>
    <s v="Professional"/>
    <s v="Yes"/>
    <n v="3"/>
    <s v="10+ Miles"/>
    <s v="North America"/>
    <n v="46"/>
    <x v="1"/>
  </r>
  <r>
    <x v="608"/>
    <s v="M"/>
    <x v="1"/>
    <n v="60000"/>
    <n v="3"/>
    <s v="Partial High School"/>
    <s v="Skilled Manual"/>
    <s v="Yes"/>
    <n v="2"/>
    <s v="5-10 Miles"/>
    <s v="North America"/>
    <n v="52"/>
    <x v="1"/>
  </r>
  <r>
    <x v="609"/>
    <s v="M"/>
    <x v="1"/>
    <n v="70000"/>
    <n v="0"/>
    <s v="Bachelors"/>
    <s v="Professional"/>
    <s v="No"/>
    <n v="1"/>
    <s v="0-1 Miles"/>
    <s v="North America"/>
    <n v="43"/>
    <x v="0"/>
  </r>
  <r>
    <x v="610"/>
    <s v="M"/>
    <x v="1"/>
    <n v="60000"/>
    <n v="1"/>
    <s v="Partial College"/>
    <s v="Skilled Manual"/>
    <s v="Yes"/>
    <n v="1"/>
    <s v="2-5 Miles"/>
    <s v="North America"/>
    <n v="44"/>
    <x v="0"/>
  </r>
  <r>
    <x v="611"/>
    <s v="M"/>
    <x v="0"/>
    <n v="80000"/>
    <n v="0"/>
    <s v="Bachelors"/>
    <s v="Management"/>
    <s v="Yes"/>
    <n v="1"/>
    <s v="1-2 Miles"/>
    <s v="North America"/>
    <n v="34"/>
    <x v="1"/>
  </r>
  <r>
    <x v="612"/>
    <s v="S"/>
    <x v="0"/>
    <n v="30000"/>
    <n v="0"/>
    <s v="Partial High School"/>
    <s v="Clerical"/>
    <s v="Yes"/>
    <n v="2"/>
    <s v="5-10 Miles"/>
    <s v="North America"/>
    <n v="27"/>
    <x v="0"/>
  </r>
  <r>
    <x v="613"/>
    <s v="S"/>
    <x v="1"/>
    <n v="110000"/>
    <n v="1"/>
    <s v="Partial College"/>
    <s v="Professional"/>
    <s v="Yes"/>
    <n v="4"/>
    <s v="5-10 Miles"/>
    <s v="North America"/>
    <n v="45"/>
    <x v="1"/>
  </r>
  <r>
    <x v="614"/>
    <s v="M"/>
    <x v="0"/>
    <n v="100000"/>
    <n v="3"/>
    <s v="Partial College"/>
    <s v="Professional"/>
    <s v="Yes"/>
    <n v="4"/>
    <s v="1-2 Miles"/>
    <s v="North America"/>
    <n v="45"/>
    <x v="0"/>
  </r>
  <r>
    <x v="615"/>
    <s v="S"/>
    <x v="0"/>
    <n v="60000"/>
    <n v="4"/>
    <s v="Graduate Degree"/>
    <s v="Skilled Manual"/>
    <s v="No"/>
    <n v="0"/>
    <s v="0-1 Miles"/>
    <s v="North America"/>
    <n v="47"/>
    <x v="1"/>
  </r>
  <r>
    <x v="616"/>
    <s v="S"/>
    <x v="0"/>
    <n v="80000"/>
    <n v="4"/>
    <s v="Graduate Degree"/>
    <s v="Skilled Manual"/>
    <s v="Yes"/>
    <n v="0"/>
    <s v="1-2 Miles"/>
    <s v="North America"/>
    <n v="47"/>
    <x v="0"/>
  </r>
  <r>
    <x v="617"/>
    <s v="M"/>
    <x v="1"/>
    <n v="40000"/>
    <n v="4"/>
    <s v="High School"/>
    <s v="Skilled Manual"/>
    <s v="Yes"/>
    <n v="2"/>
    <s v="2-5 Miles"/>
    <s v="North America"/>
    <n v="44"/>
    <x v="1"/>
  </r>
  <r>
    <x v="618"/>
    <s v="S"/>
    <x v="0"/>
    <n v="20000"/>
    <n v="3"/>
    <s v="Partial High School"/>
    <s v="Clerical"/>
    <s v="No"/>
    <n v="2"/>
    <s v="0-1 Miles"/>
    <s v="North America"/>
    <n v="49"/>
    <x v="0"/>
  </r>
  <r>
    <x v="619"/>
    <s v="S"/>
    <x v="0"/>
    <n v="40000"/>
    <n v="0"/>
    <s v="High School"/>
    <s v="Skilled Manual"/>
    <s v="Yes"/>
    <n v="1"/>
    <s v="5-10 Miles"/>
    <s v="North America"/>
    <n v="30"/>
    <x v="0"/>
  </r>
  <r>
    <x v="620"/>
    <s v="M"/>
    <x v="0"/>
    <n v="100000"/>
    <n v="4"/>
    <s v="Partial College"/>
    <s v="Professional"/>
    <s v="Yes"/>
    <n v="4"/>
    <s v="2-5 Miles"/>
    <s v="North America"/>
    <n v="41"/>
    <x v="1"/>
  </r>
  <r>
    <x v="621"/>
    <s v="M"/>
    <x v="1"/>
    <n v="70000"/>
    <n v="4"/>
    <s v="Bachelors"/>
    <s v="Management"/>
    <s v="Yes"/>
    <n v="1"/>
    <s v="1-2 Miles"/>
    <s v="North America"/>
    <n v="58"/>
    <x v="0"/>
  </r>
  <r>
    <x v="622"/>
    <s v="M"/>
    <x v="1"/>
    <n v="60000"/>
    <n v="5"/>
    <s v="Bachelors"/>
    <s v="Professional"/>
    <s v="Yes"/>
    <n v="1"/>
    <s v="2-5 Miles"/>
    <s v="North America"/>
    <n v="47"/>
    <x v="0"/>
  </r>
  <r>
    <x v="623"/>
    <s v="M"/>
    <x v="0"/>
    <n v="70000"/>
    <n v="4"/>
    <s v="Partial College"/>
    <s v="Professional"/>
    <s v="Yes"/>
    <n v="1"/>
    <s v="1-2 Miles"/>
    <s v="North America"/>
    <n v="55"/>
    <x v="0"/>
  </r>
  <r>
    <x v="624"/>
    <s v="S"/>
    <x v="0"/>
    <n v="70000"/>
    <n v="0"/>
    <s v="Partial College"/>
    <s v="Skilled Manual"/>
    <s v="No"/>
    <n v="2"/>
    <s v="0-1 Miles"/>
    <s v="North America"/>
    <n v="27"/>
    <x v="1"/>
  </r>
  <r>
    <x v="625"/>
    <s v="M"/>
    <x v="1"/>
    <n v="60000"/>
    <n v="3"/>
    <s v="Graduate Degree"/>
    <s v="Management"/>
    <s v="Yes"/>
    <n v="2"/>
    <s v="1-2 Miles"/>
    <s v="North America"/>
    <n v="67"/>
    <x v="0"/>
  </r>
  <r>
    <x v="626"/>
    <s v="M"/>
    <x v="0"/>
    <n v="60000"/>
    <n v="0"/>
    <s v="Partial College"/>
    <s v="Skilled Manual"/>
    <s v="Yes"/>
    <n v="2"/>
    <s v="5-10 Miles"/>
    <s v="North America"/>
    <n v="29"/>
    <x v="0"/>
  </r>
  <r>
    <x v="627"/>
    <s v="M"/>
    <x v="0"/>
    <n v="60000"/>
    <n v="3"/>
    <s v="Graduate Degree"/>
    <s v="Management"/>
    <s v="Yes"/>
    <n v="2"/>
    <s v="1-2 Miles"/>
    <s v="North America"/>
    <n v="67"/>
    <x v="0"/>
  </r>
  <r>
    <x v="628"/>
    <s v="S"/>
    <x v="1"/>
    <n v="80000"/>
    <n v="3"/>
    <s v="Partial College"/>
    <s v="Professional"/>
    <s v="No"/>
    <n v="1"/>
    <s v="1-2 Miles"/>
    <s v="North America"/>
    <n v="51"/>
    <x v="1"/>
  </r>
  <r>
    <x v="629"/>
    <s v="M"/>
    <x v="0"/>
    <n v="50000"/>
    <n v="1"/>
    <s v="Graduate Degree"/>
    <s v="Skilled Manual"/>
    <s v="Yes"/>
    <n v="0"/>
    <s v="0-1 Miles"/>
    <s v="North America"/>
    <n v="35"/>
    <x v="0"/>
  </r>
  <r>
    <x v="630"/>
    <s v="M"/>
    <x v="1"/>
    <n v="40000"/>
    <n v="0"/>
    <s v="High School"/>
    <s v="Skilled Manual"/>
    <s v="No"/>
    <n v="2"/>
    <s v="1-2 Miles"/>
    <s v="North America"/>
    <n v="30"/>
    <x v="0"/>
  </r>
  <r>
    <x v="631"/>
    <s v="S"/>
    <x v="1"/>
    <n v="70000"/>
    <n v="5"/>
    <s v="Partial College"/>
    <s v="Professional"/>
    <s v="Yes"/>
    <n v="3"/>
    <s v="2-5 Miles"/>
    <s v="North America"/>
    <n v="44"/>
    <x v="0"/>
  </r>
  <r>
    <x v="632"/>
    <s v="S"/>
    <x v="0"/>
    <n v="80000"/>
    <n v="4"/>
    <s v="Graduate Degree"/>
    <s v="Skilled Manual"/>
    <s v="Yes"/>
    <n v="0"/>
    <s v="1-2 Miles"/>
    <s v="North America"/>
    <n v="48"/>
    <x v="0"/>
  </r>
  <r>
    <x v="633"/>
    <s v="M"/>
    <x v="0"/>
    <n v="130000"/>
    <n v="1"/>
    <s v="Bachelors"/>
    <s v="Management"/>
    <s v="Yes"/>
    <n v="2"/>
    <s v="0-1 Miles"/>
    <s v="North America"/>
    <n v="45"/>
    <x v="1"/>
  </r>
  <r>
    <x v="634"/>
    <s v="M"/>
    <x v="1"/>
    <n v="60000"/>
    <n v="3"/>
    <s v="Bachelors"/>
    <s v="Management"/>
    <s v="No"/>
    <n v="2"/>
    <s v="1-2 Miles"/>
    <s v="North America"/>
    <n v="66"/>
    <x v="0"/>
  </r>
  <r>
    <x v="635"/>
    <s v="S"/>
    <x v="0"/>
    <n v="30000"/>
    <n v="2"/>
    <s v="High School"/>
    <s v="Skilled Manual"/>
    <s v="No"/>
    <n v="2"/>
    <s v="0-1 Miles"/>
    <s v="North America"/>
    <n v="49"/>
    <x v="0"/>
  </r>
  <r>
    <x v="636"/>
    <s v="S"/>
    <x v="0"/>
    <n v="120000"/>
    <n v="4"/>
    <s v="Partial College"/>
    <s v="Professional"/>
    <s v="Yes"/>
    <n v="3"/>
    <s v="5-10 Miles"/>
    <s v="North America"/>
    <n v="43"/>
    <x v="1"/>
  </r>
  <r>
    <x v="637"/>
    <s v="S"/>
    <x v="1"/>
    <n v="40000"/>
    <n v="0"/>
    <s v="High School"/>
    <s v="Skilled Manual"/>
    <s v="No"/>
    <n v="2"/>
    <s v="1-2 Miles"/>
    <s v="North America"/>
    <n v="30"/>
    <x v="0"/>
  </r>
  <r>
    <x v="638"/>
    <s v="S"/>
    <x v="1"/>
    <n v="70000"/>
    <n v="0"/>
    <s v="Graduate Degree"/>
    <s v="Management"/>
    <s v="Yes"/>
    <n v="2"/>
    <s v="5-10 Miles"/>
    <s v="North America"/>
    <n v="74"/>
    <x v="1"/>
  </r>
  <r>
    <x v="639"/>
    <s v="M"/>
    <x v="1"/>
    <n v="100000"/>
    <n v="2"/>
    <s v="Graduate Degree"/>
    <s v="Management"/>
    <s v="Yes"/>
    <n v="3"/>
    <s v="1-2 Miles"/>
    <s v="North America"/>
    <n v="65"/>
    <x v="0"/>
  </r>
  <r>
    <x v="640"/>
    <s v="M"/>
    <x v="0"/>
    <n v="60000"/>
    <n v="2"/>
    <s v="Partial College"/>
    <s v="Professional"/>
    <s v="Yes"/>
    <n v="2"/>
    <s v="2-5 Miles"/>
    <s v="North America"/>
    <n v="56"/>
    <x v="1"/>
  </r>
  <r>
    <x v="641"/>
    <s v="M"/>
    <x v="1"/>
    <n v="50000"/>
    <n v="4"/>
    <s v="Bachelors"/>
    <s v="Management"/>
    <s v="Yes"/>
    <n v="2"/>
    <s v="10+ Miles"/>
    <s v="North America"/>
    <n v="64"/>
    <x v="0"/>
  </r>
  <r>
    <x v="642"/>
    <s v="M"/>
    <x v="0"/>
    <n v="70000"/>
    <n v="3"/>
    <s v="Partial College"/>
    <s v="Professional"/>
    <s v="Yes"/>
    <n v="2"/>
    <s v="5-10 Miles"/>
    <s v="North America"/>
    <n v="50"/>
    <x v="1"/>
  </r>
  <r>
    <x v="643"/>
    <s v="M"/>
    <x v="0"/>
    <n v="70000"/>
    <n v="3"/>
    <s v="Graduate Degree"/>
    <s v="Professional"/>
    <s v="Yes"/>
    <n v="0"/>
    <s v="2-5 Miles"/>
    <s v="North America"/>
    <n v="35"/>
    <x v="1"/>
  </r>
  <r>
    <x v="644"/>
    <s v="M"/>
    <x v="0"/>
    <n v="60000"/>
    <n v="5"/>
    <s v="Bachelors"/>
    <s v="Skilled Manual"/>
    <s v="Yes"/>
    <n v="3"/>
    <s v="10+ Miles"/>
    <s v="North America"/>
    <n v="41"/>
    <x v="0"/>
  </r>
  <r>
    <x v="645"/>
    <s v="S"/>
    <x v="0"/>
    <n v="60000"/>
    <n v="0"/>
    <s v="Graduate Degree"/>
    <s v="Skilled Manual"/>
    <s v="Yes"/>
    <n v="0"/>
    <s v="0-1 Miles"/>
    <s v="North America"/>
    <n v="39"/>
    <x v="0"/>
  </r>
  <r>
    <x v="646"/>
    <s v="S"/>
    <x v="0"/>
    <n v="60000"/>
    <n v="4"/>
    <s v="Graduate Degree"/>
    <s v="Skilled Manual"/>
    <s v="No"/>
    <n v="0"/>
    <s v="1-2 Miles"/>
    <s v="North America"/>
    <n v="47"/>
    <x v="0"/>
  </r>
  <r>
    <x v="647"/>
    <s v="S"/>
    <x v="1"/>
    <n v="40000"/>
    <n v="0"/>
    <s v="High School"/>
    <s v="Skilled Manual"/>
    <s v="Yes"/>
    <n v="2"/>
    <s v="5-10 Miles"/>
    <s v="North America"/>
    <n v="31"/>
    <x v="0"/>
  </r>
  <r>
    <x v="648"/>
    <s v="S"/>
    <x v="0"/>
    <n v="70000"/>
    <n v="2"/>
    <s v="Bachelors"/>
    <s v="Management"/>
    <s v="No"/>
    <n v="1"/>
    <s v="2-5 Miles"/>
    <s v="North America"/>
    <n v="58"/>
    <x v="1"/>
  </r>
  <r>
    <x v="649"/>
    <s v="S"/>
    <x v="0"/>
    <n v="70000"/>
    <n v="0"/>
    <s v="Bachelors"/>
    <s v="Professional"/>
    <s v="No"/>
    <n v="1"/>
    <s v="2-5 Miles"/>
    <s v="North America"/>
    <n v="38"/>
    <x v="1"/>
  </r>
  <r>
    <x v="650"/>
    <s v="S"/>
    <x v="0"/>
    <n v="70000"/>
    <n v="5"/>
    <s v="Graduate Degree"/>
    <s v="Management"/>
    <s v="Yes"/>
    <n v="2"/>
    <s v="10+ Miles"/>
    <s v="North America"/>
    <n v="67"/>
    <x v="1"/>
  </r>
  <r>
    <x v="651"/>
    <s v="S"/>
    <x v="1"/>
    <n v="60000"/>
    <n v="0"/>
    <s v="Partial College"/>
    <s v="Professional"/>
    <s v="No"/>
    <n v="2"/>
    <s v="1-2 Miles"/>
    <s v="North America"/>
    <n v="32"/>
    <x v="1"/>
  </r>
  <r>
    <x v="652"/>
    <s v="M"/>
    <x v="1"/>
    <n v="70000"/>
    <n v="5"/>
    <s v="Partial College"/>
    <s v="Professional"/>
    <s v="No"/>
    <n v="3"/>
    <s v="5-10 Miles"/>
    <s v="North America"/>
    <n v="45"/>
    <x v="0"/>
  </r>
  <r>
    <x v="653"/>
    <s v="S"/>
    <x v="1"/>
    <n v="30000"/>
    <n v="0"/>
    <s v="High School"/>
    <s v="Skilled Manual"/>
    <s v="No"/>
    <n v="2"/>
    <s v="1-2 Miles"/>
    <s v="North America"/>
    <n v="31"/>
    <x v="1"/>
  </r>
  <r>
    <x v="654"/>
    <s v="S"/>
    <x v="1"/>
    <n v="40000"/>
    <n v="0"/>
    <s v="High School"/>
    <s v="Skilled Manual"/>
    <s v="No"/>
    <n v="2"/>
    <s v="1-2 Miles"/>
    <s v="North America"/>
    <n v="31"/>
    <x v="1"/>
  </r>
  <r>
    <x v="655"/>
    <s v="M"/>
    <x v="0"/>
    <n v="40000"/>
    <n v="3"/>
    <s v="Partial College"/>
    <s v="Clerical"/>
    <s v="Yes"/>
    <n v="1"/>
    <s v="0-1 Miles"/>
    <s v="North America"/>
    <n v="31"/>
    <x v="0"/>
  </r>
  <r>
    <x v="656"/>
    <s v="M"/>
    <x v="1"/>
    <n v="60000"/>
    <n v="2"/>
    <s v="High School"/>
    <s v="Professional"/>
    <s v="No"/>
    <n v="2"/>
    <s v="5-10 Miles"/>
    <s v="North America"/>
    <n v="50"/>
    <x v="0"/>
  </r>
  <r>
    <x v="657"/>
    <s v="M"/>
    <x v="1"/>
    <n v="70000"/>
    <n v="1"/>
    <s v="Partial College"/>
    <s v="Skilled Manual"/>
    <s v="Yes"/>
    <n v="1"/>
    <s v="0-1 Miles"/>
    <s v="North America"/>
    <n v="44"/>
    <x v="0"/>
  </r>
  <r>
    <x v="658"/>
    <s v="S"/>
    <x v="1"/>
    <n v="50000"/>
    <n v="2"/>
    <s v="Bachelors"/>
    <s v="Skilled Manual"/>
    <s v="Yes"/>
    <n v="1"/>
    <s v="2-5 Miles"/>
    <s v="North America"/>
    <n v="38"/>
    <x v="1"/>
  </r>
  <r>
    <x v="659"/>
    <s v="S"/>
    <x v="0"/>
    <n v="60000"/>
    <n v="4"/>
    <s v="Bachelors"/>
    <s v="Management"/>
    <s v="Yes"/>
    <n v="2"/>
    <s v="10+ Miles"/>
    <s v="North America"/>
    <n v="63"/>
    <x v="0"/>
  </r>
  <r>
    <x v="660"/>
    <s v="M"/>
    <x v="0"/>
    <n v="60000"/>
    <n v="1"/>
    <s v="Graduate Degree"/>
    <s v="Professional"/>
    <s v="Yes"/>
    <n v="0"/>
    <s v="2-5 Miles"/>
    <s v="North America"/>
    <n v="36"/>
    <x v="1"/>
  </r>
  <r>
    <x v="661"/>
    <s v="S"/>
    <x v="1"/>
    <n v="40000"/>
    <n v="0"/>
    <s v="High School"/>
    <s v="Skilled Manual"/>
    <s v="No"/>
    <n v="2"/>
    <s v="0-1 Miles"/>
    <s v="North America"/>
    <n v="28"/>
    <x v="1"/>
  </r>
  <r>
    <x v="662"/>
    <s v="S"/>
    <x v="0"/>
    <n v="100000"/>
    <n v="1"/>
    <s v="Partial College"/>
    <s v="Professional"/>
    <s v="No"/>
    <n v="3"/>
    <s v="1-2 Miles"/>
    <s v="North America"/>
    <n v="44"/>
    <x v="0"/>
  </r>
  <r>
    <x v="663"/>
    <s v="M"/>
    <x v="0"/>
    <n v="70000"/>
    <n v="5"/>
    <s v="Graduate Degree"/>
    <s v="Professional"/>
    <s v="Yes"/>
    <n v="1"/>
    <s v="0-1 Miles"/>
    <s v="North America"/>
    <n v="47"/>
    <x v="0"/>
  </r>
  <r>
    <x v="664"/>
    <s v="M"/>
    <x v="0"/>
    <n v="80000"/>
    <n v="0"/>
    <s v="Graduate Degree"/>
    <s v="Skilled Manual"/>
    <s v="Yes"/>
    <n v="0"/>
    <s v="1-2 Miles"/>
    <s v="North America"/>
    <n v="40"/>
    <x v="1"/>
  </r>
  <r>
    <x v="665"/>
    <s v="M"/>
    <x v="1"/>
    <n v="130000"/>
    <n v="1"/>
    <s v="Graduate Degree"/>
    <s v="Management"/>
    <s v="Yes"/>
    <n v="4"/>
    <s v="0-1 Miles"/>
    <s v="North America"/>
    <n v="40"/>
    <x v="0"/>
  </r>
  <r>
    <x v="666"/>
    <s v="M"/>
    <x v="0"/>
    <n v="60000"/>
    <n v="1"/>
    <s v="Partial College"/>
    <s v="Skilled Manual"/>
    <s v="Yes"/>
    <n v="1"/>
    <s v="2-5 Miles"/>
    <s v="North America"/>
    <n v="46"/>
    <x v="1"/>
  </r>
  <r>
    <x v="667"/>
    <s v="M"/>
    <x v="0"/>
    <n v="40000"/>
    <n v="5"/>
    <s v="High School"/>
    <s v="Professional"/>
    <s v="No"/>
    <n v="2"/>
    <s v="10+ Miles"/>
    <s v="North America"/>
    <n v="61"/>
    <x v="0"/>
  </r>
  <r>
    <x v="668"/>
    <s v="M"/>
    <x v="0"/>
    <n v="60000"/>
    <n v="0"/>
    <s v="Graduate Degree"/>
    <s v="Professional"/>
    <s v="Yes"/>
    <n v="0"/>
    <s v="0-1 Miles"/>
    <s v="North America"/>
    <n v="40"/>
    <x v="0"/>
  </r>
  <r>
    <x v="669"/>
    <s v="M"/>
    <x v="0"/>
    <n v="60000"/>
    <n v="2"/>
    <s v="High School"/>
    <s v="Professional"/>
    <s v="Yes"/>
    <n v="2"/>
    <s v="5-10 Miles"/>
    <s v="North America"/>
    <n v="50"/>
    <x v="0"/>
  </r>
  <r>
    <x v="670"/>
    <s v="M"/>
    <x v="1"/>
    <n v="70000"/>
    <n v="2"/>
    <s v="Partial College"/>
    <s v="Professional"/>
    <s v="Yes"/>
    <n v="1"/>
    <s v="10+ Miles"/>
    <s v="North America"/>
    <n v="59"/>
    <x v="0"/>
  </r>
  <r>
    <x v="671"/>
    <s v="S"/>
    <x v="0"/>
    <n v="60000"/>
    <n v="1"/>
    <s v="Graduate Degree"/>
    <s v="Professional"/>
    <s v="Yes"/>
    <n v="0"/>
    <s v="2-5 Miles"/>
    <s v="North America"/>
    <n v="36"/>
    <x v="1"/>
  </r>
  <r>
    <x v="672"/>
    <s v="S"/>
    <x v="0"/>
    <n v="40000"/>
    <n v="0"/>
    <s v="High School"/>
    <s v="Skilled Manual"/>
    <s v="Yes"/>
    <n v="2"/>
    <s v="5-10 Miles"/>
    <s v="North America"/>
    <n v="30"/>
    <x v="0"/>
  </r>
  <r>
    <x v="673"/>
    <s v="S"/>
    <x v="0"/>
    <n v="70000"/>
    <n v="4"/>
    <s v="Graduate Degree"/>
    <s v="Professional"/>
    <s v="Yes"/>
    <n v="0"/>
    <s v="2-5 Miles"/>
    <s v="North America"/>
    <n v="35"/>
    <x v="1"/>
  </r>
  <r>
    <x v="674"/>
    <s v="M"/>
    <x v="0"/>
    <n v="30000"/>
    <n v="2"/>
    <s v="High School"/>
    <s v="Skilled Manual"/>
    <s v="Yes"/>
    <n v="2"/>
    <s v="1-2 Miles"/>
    <s v="North America"/>
    <n v="48"/>
    <x v="0"/>
  </r>
  <r>
    <x v="675"/>
    <s v="M"/>
    <x v="1"/>
    <n v="100000"/>
    <n v="3"/>
    <s v="Bachelors"/>
    <s v="Management"/>
    <s v="Yes"/>
    <n v="4"/>
    <s v="0-1 Miles"/>
    <s v="North America"/>
    <n v="41"/>
    <x v="0"/>
  </r>
  <r>
    <x v="676"/>
    <s v="M"/>
    <x v="1"/>
    <n v="40000"/>
    <n v="2"/>
    <s v="Partial College"/>
    <s v="Clerical"/>
    <s v="Yes"/>
    <n v="1"/>
    <s v="0-1 Miles"/>
    <s v="North America"/>
    <n v="47"/>
    <x v="0"/>
  </r>
  <r>
    <x v="677"/>
    <s v="M"/>
    <x v="1"/>
    <n v="60000"/>
    <n v="4"/>
    <s v="Graduate Degree"/>
    <s v="Skilled Manual"/>
    <s v="No"/>
    <n v="0"/>
    <s v="0-1 Miles"/>
    <s v="North America"/>
    <n v="47"/>
    <x v="0"/>
  </r>
  <r>
    <x v="678"/>
    <s v="M"/>
    <x v="1"/>
    <n v="80000"/>
    <n v="5"/>
    <s v="Bachelors"/>
    <s v="Management"/>
    <s v="No"/>
    <n v="2"/>
    <s v="2-5 Miles"/>
    <s v="Europe"/>
    <n v="62"/>
    <x v="0"/>
  </r>
  <r>
    <x v="679"/>
    <s v="M"/>
    <x v="1"/>
    <n v="60000"/>
    <n v="4"/>
    <s v="Bachelors"/>
    <s v="Management"/>
    <s v="Yes"/>
    <n v="2"/>
    <s v="10+ Miles"/>
    <s v="North America"/>
    <n v="60"/>
    <x v="0"/>
  </r>
  <r>
    <x v="680"/>
    <s v="M"/>
    <x v="0"/>
    <n v="60000"/>
    <n v="0"/>
    <s v="Partial College"/>
    <s v="Skilled Manual"/>
    <s v="No"/>
    <n v="1"/>
    <s v="1-2 Miles"/>
    <s v="North America"/>
    <n v="33"/>
    <x v="0"/>
  </r>
  <r>
    <x v="681"/>
    <s v="S"/>
    <x v="0"/>
    <n v="80000"/>
    <n v="4"/>
    <s v="Graduate Degree"/>
    <s v="Skilled Manual"/>
    <s v="No"/>
    <n v="0"/>
    <s v="0-1 Miles"/>
    <s v="North America"/>
    <n v="47"/>
    <x v="0"/>
  </r>
  <r>
    <x v="682"/>
    <s v="M"/>
    <x v="1"/>
    <n v="20000"/>
    <n v="3"/>
    <s v="Partial High School"/>
    <s v="Clerical"/>
    <s v="No"/>
    <n v="2"/>
    <s v="0-1 Miles"/>
    <s v="North America"/>
    <n v="52"/>
    <x v="0"/>
  </r>
  <r>
    <x v="683"/>
    <s v="M"/>
    <x v="0"/>
    <n v="90000"/>
    <n v="5"/>
    <s v="Partial College"/>
    <s v="Professional"/>
    <s v="Yes"/>
    <n v="3"/>
    <s v="2-5 Miles"/>
    <s v="North America"/>
    <n v="40"/>
    <x v="0"/>
  </r>
  <r>
    <x v="684"/>
    <s v="S"/>
    <x v="0"/>
    <n v="60000"/>
    <n v="4"/>
    <s v="Bachelors"/>
    <s v="Skilled Manual"/>
    <s v="No"/>
    <n v="2"/>
    <s v="0-1 Miles"/>
    <s v="North America"/>
    <n v="42"/>
    <x v="0"/>
  </r>
  <r>
    <x v="685"/>
    <s v="S"/>
    <x v="0"/>
    <n v="60000"/>
    <n v="3"/>
    <s v="Graduate Degree"/>
    <s v="Management"/>
    <s v="Yes"/>
    <n v="2"/>
    <s v="5-10 Miles"/>
    <s v="North America"/>
    <n v="53"/>
    <x v="1"/>
  </r>
  <r>
    <x v="686"/>
    <s v="M"/>
    <x v="0"/>
    <n v="40000"/>
    <n v="1"/>
    <s v="Partial College"/>
    <s v="Clerical"/>
    <s v="Yes"/>
    <n v="1"/>
    <s v="1-2 Miles"/>
    <s v="North America"/>
    <n v="51"/>
    <x v="1"/>
  </r>
  <r>
    <x v="687"/>
    <s v="S"/>
    <x v="1"/>
    <n v="30000"/>
    <n v="0"/>
    <s v="Partial College"/>
    <s v="Skilled Manual"/>
    <s v="Yes"/>
    <n v="2"/>
    <s v="5-10 Miles"/>
    <s v="North America"/>
    <n v="30"/>
    <x v="0"/>
  </r>
  <r>
    <x v="688"/>
    <s v="S"/>
    <x v="1"/>
    <n v="60000"/>
    <n v="0"/>
    <s v="Bachelors"/>
    <s v="Skilled Manual"/>
    <s v="No"/>
    <n v="2"/>
    <s v="0-1 Miles"/>
    <s v="North America"/>
    <n v="30"/>
    <x v="0"/>
  </r>
  <r>
    <x v="689"/>
    <s v="M"/>
    <x v="1"/>
    <n v="30000"/>
    <n v="0"/>
    <s v="High School"/>
    <s v="Skilled Manual"/>
    <s v="Yes"/>
    <n v="2"/>
    <s v="5-10 Miles"/>
    <s v="North America"/>
    <n v="26"/>
    <x v="0"/>
  </r>
  <r>
    <x v="690"/>
    <s v="S"/>
    <x v="0"/>
    <n v="130000"/>
    <n v="1"/>
    <s v="Bachelors"/>
    <s v="Management"/>
    <s v="No"/>
    <n v="1"/>
    <s v="2-5 Miles"/>
    <s v="North America"/>
    <n v="45"/>
    <x v="0"/>
  </r>
  <r>
    <x v="691"/>
    <s v="M"/>
    <x v="1"/>
    <n v="50000"/>
    <n v="1"/>
    <s v="Bachelors"/>
    <s v="Skilled Manual"/>
    <s v="Yes"/>
    <n v="0"/>
    <s v="0-1 Miles"/>
    <s v="North America"/>
    <n v="34"/>
    <x v="1"/>
  </r>
  <r>
    <x v="692"/>
    <s v="M"/>
    <x v="1"/>
    <n v="70000"/>
    <n v="1"/>
    <s v="Bachelors"/>
    <s v="Professional"/>
    <s v="Yes"/>
    <n v="1"/>
    <s v="2-5 Miles"/>
    <s v="North America"/>
    <n v="44"/>
    <x v="1"/>
  </r>
  <r>
    <x v="693"/>
    <s v="S"/>
    <x v="0"/>
    <n v="60000"/>
    <n v="4"/>
    <s v="Bachelors"/>
    <s v="Skilled Manual"/>
    <s v="No"/>
    <n v="2"/>
    <s v="0-1 Miles"/>
    <s v="North America"/>
    <n v="41"/>
    <x v="1"/>
  </r>
  <r>
    <x v="694"/>
    <s v="S"/>
    <x v="0"/>
    <n v="80000"/>
    <n v="3"/>
    <s v="Graduate Degree"/>
    <s v="Professional"/>
    <s v="No"/>
    <n v="0"/>
    <s v="0-1 Miles"/>
    <s v="North America"/>
    <n v="36"/>
    <x v="1"/>
  </r>
  <r>
    <x v="695"/>
    <s v="M"/>
    <x v="1"/>
    <n v="80000"/>
    <n v="5"/>
    <s v="Partial College"/>
    <s v="Professional"/>
    <s v="Yes"/>
    <n v="2"/>
    <s v="0-1 Miles"/>
    <s v="North America"/>
    <n v="44"/>
    <x v="0"/>
  </r>
  <r>
    <x v="696"/>
    <s v="S"/>
    <x v="1"/>
    <n v="60000"/>
    <n v="0"/>
    <s v="Partial College"/>
    <s v="Professional"/>
    <s v="No"/>
    <n v="2"/>
    <s v="1-2 Miles"/>
    <s v="North America"/>
    <n v="30"/>
    <x v="0"/>
  </r>
  <r>
    <x v="697"/>
    <s v="M"/>
    <x v="0"/>
    <n v="30000"/>
    <n v="0"/>
    <s v="Partial High School"/>
    <s v="Clerical"/>
    <s v="No"/>
    <n v="2"/>
    <s v="0-1 Miles"/>
    <s v="North America"/>
    <n v="28"/>
    <x v="0"/>
  </r>
  <r>
    <x v="698"/>
    <s v="M"/>
    <x v="1"/>
    <n v="20000"/>
    <n v="2"/>
    <s v="Partial High School"/>
    <s v="Clerical"/>
    <s v="Yes"/>
    <n v="2"/>
    <s v="1-2 Miles"/>
    <s v="North America"/>
    <n v="49"/>
    <x v="0"/>
  </r>
  <r>
    <x v="699"/>
    <s v="S"/>
    <x v="1"/>
    <n v="90000"/>
    <n v="0"/>
    <s v="Partial College"/>
    <s v="Professional"/>
    <s v="No"/>
    <n v="2"/>
    <s v="0-1 Miles"/>
    <s v="North America"/>
    <n v="43"/>
    <x v="1"/>
  </r>
  <r>
    <x v="700"/>
    <s v="M"/>
    <x v="0"/>
    <n v="70000"/>
    <n v="4"/>
    <s v="Bachelors"/>
    <s v="Management"/>
    <s v="Yes"/>
    <n v="1"/>
    <s v="1-2 Miles"/>
    <s v="North America"/>
    <n v="59"/>
    <x v="0"/>
  </r>
  <r>
    <x v="701"/>
    <s v="S"/>
    <x v="1"/>
    <n v="30000"/>
    <n v="0"/>
    <s v="High School"/>
    <s v="Skilled Manual"/>
    <s v="Yes"/>
    <n v="2"/>
    <s v="5-10 Miles"/>
    <s v="North America"/>
    <n v="26"/>
    <x v="0"/>
  </r>
  <r>
    <x v="702"/>
    <s v="M"/>
    <x v="1"/>
    <n v="120000"/>
    <n v="1"/>
    <s v="High School"/>
    <s v="Professional"/>
    <s v="Yes"/>
    <n v="4"/>
    <s v="5-10 Miles"/>
    <s v="North America"/>
    <n v="46"/>
    <x v="1"/>
  </r>
  <r>
    <x v="703"/>
    <s v="S"/>
    <x v="0"/>
    <n v="50000"/>
    <n v="0"/>
    <s v="Graduate Degree"/>
    <s v="Skilled Manual"/>
    <s v="Yes"/>
    <n v="0"/>
    <s v="1-2 Miles"/>
    <s v="North America"/>
    <n v="33"/>
    <x v="0"/>
  </r>
  <r>
    <x v="704"/>
    <s v="S"/>
    <x v="0"/>
    <n v="40000"/>
    <n v="0"/>
    <s v="Bachelors"/>
    <s v="Professional"/>
    <s v="Yes"/>
    <n v="1"/>
    <s v="2-5 Miles"/>
    <s v="North America"/>
    <n v="42"/>
    <x v="1"/>
  </r>
  <r>
    <x v="705"/>
    <s v="M"/>
    <x v="0"/>
    <n v="70000"/>
    <n v="4"/>
    <s v="Bachelors"/>
    <s v="Management"/>
    <s v="Yes"/>
    <n v="1"/>
    <s v="10+ Miles"/>
    <s v="North America"/>
    <n v="59"/>
    <x v="0"/>
  </r>
  <r>
    <x v="706"/>
    <s v="S"/>
    <x v="0"/>
    <n v="60000"/>
    <n v="0"/>
    <s v="Partial College"/>
    <s v="Skilled Manual"/>
    <s v="No"/>
    <n v="1"/>
    <s v="1-2 Miles"/>
    <s v="North America"/>
    <n v="33"/>
    <x v="1"/>
  </r>
  <r>
    <x v="707"/>
    <s v="M"/>
    <x v="0"/>
    <n v="70000"/>
    <n v="1"/>
    <s v="Partial College"/>
    <s v="Skilled Manual"/>
    <s v="Yes"/>
    <n v="1"/>
    <s v="0-1 Miles"/>
    <s v="North America"/>
    <n v="44"/>
    <x v="1"/>
  </r>
  <r>
    <x v="708"/>
    <s v="M"/>
    <x v="1"/>
    <n v="70000"/>
    <n v="5"/>
    <s v="Bachelors"/>
    <s v="Management"/>
    <s v="Yes"/>
    <n v="4"/>
    <s v="10+ Miles"/>
    <s v="North America"/>
    <n v="60"/>
    <x v="0"/>
  </r>
  <r>
    <x v="709"/>
    <s v="S"/>
    <x v="0"/>
    <n v="70000"/>
    <n v="2"/>
    <s v="Bachelors"/>
    <s v="Management"/>
    <s v="Yes"/>
    <n v="1"/>
    <s v="10+ Miles"/>
    <s v="North America"/>
    <n v="59"/>
    <x v="0"/>
  </r>
  <r>
    <x v="710"/>
    <s v="M"/>
    <x v="1"/>
    <n v="60000"/>
    <n v="0"/>
    <s v="High School"/>
    <s v="Professional"/>
    <s v="Yes"/>
    <n v="2"/>
    <s v="5-10 Miles"/>
    <s v="North America"/>
    <n v="32"/>
    <x v="1"/>
  </r>
  <r>
    <x v="711"/>
    <s v="M"/>
    <x v="0"/>
    <n v="70000"/>
    <n v="2"/>
    <s v="Partial College"/>
    <s v="Professional"/>
    <s v="Yes"/>
    <n v="1"/>
    <s v="10+ Miles"/>
    <s v="North America"/>
    <n v="58"/>
    <x v="0"/>
  </r>
  <r>
    <x v="712"/>
    <s v="M"/>
    <x v="0"/>
    <n v="40000"/>
    <n v="2"/>
    <s v="High School"/>
    <s v="Professional"/>
    <s v="No"/>
    <n v="2"/>
    <s v="2-5 Miles"/>
    <s v="North America"/>
    <n v="59"/>
    <x v="0"/>
  </r>
  <r>
    <x v="713"/>
    <s v="S"/>
    <x v="0"/>
    <n v="70000"/>
    <n v="2"/>
    <s v="Bachelors"/>
    <s v="Skilled Manual"/>
    <s v="Yes"/>
    <n v="1"/>
    <s v="2-5 Miles"/>
    <s v="North America"/>
    <n v="38"/>
    <x v="0"/>
  </r>
  <r>
    <x v="714"/>
    <s v="M"/>
    <x v="1"/>
    <n v="40000"/>
    <n v="0"/>
    <s v="High School"/>
    <s v="Skilled Manual"/>
    <s v="Yes"/>
    <n v="2"/>
    <s v="5-10 Miles"/>
    <s v="North America"/>
    <n v="28"/>
    <x v="1"/>
  </r>
  <r>
    <x v="715"/>
    <s v="M"/>
    <x v="0"/>
    <n v="60000"/>
    <n v="1"/>
    <s v="Graduate Degree"/>
    <s v="Professional"/>
    <s v="Yes"/>
    <n v="0"/>
    <s v="2-5 Miles"/>
    <s v="North America"/>
    <n v="37"/>
    <x v="1"/>
  </r>
  <r>
    <x v="716"/>
    <s v="S"/>
    <x v="0"/>
    <n v="80000"/>
    <n v="0"/>
    <s v="Graduate Degree"/>
    <s v="Skilled Manual"/>
    <s v="No"/>
    <n v="0"/>
    <s v="0-1 Miles"/>
    <s v="North America"/>
    <n v="40"/>
    <x v="0"/>
  </r>
  <r>
    <x v="717"/>
    <s v="S"/>
    <x v="1"/>
    <n v="90000"/>
    <n v="4"/>
    <s v="Bachelors"/>
    <s v="Management"/>
    <s v="Yes"/>
    <n v="1"/>
    <s v="1-2 Miles"/>
    <s v="North America"/>
    <n v="38"/>
    <x v="1"/>
  </r>
  <r>
    <x v="718"/>
    <s v="M"/>
    <x v="1"/>
    <n v="70000"/>
    <n v="4"/>
    <s v="Graduate Degree"/>
    <s v="Professional"/>
    <s v="Yes"/>
    <n v="0"/>
    <s v="2-5 Miles"/>
    <s v="North America"/>
    <n v="36"/>
    <x v="1"/>
  </r>
  <r>
    <x v="719"/>
    <s v="M"/>
    <x v="0"/>
    <n v="70000"/>
    <n v="5"/>
    <s v="Graduate Degree"/>
    <s v="Professional"/>
    <s v="Yes"/>
    <n v="2"/>
    <s v="0-1 Miles"/>
    <s v="North America"/>
    <n v="37"/>
    <x v="0"/>
  </r>
  <r>
    <x v="720"/>
    <s v="S"/>
    <x v="0"/>
    <n v="40000"/>
    <n v="5"/>
    <s v="High School"/>
    <s v="Professional"/>
    <s v="No"/>
    <n v="3"/>
    <s v="2-5 Miles"/>
    <s v="North America"/>
    <n v="60"/>
    <x v="1"/>
  </r>
  <r>
    <x v="721"/>
    <s v="S"/>
    <x v="1"/>
    <n v="110000"/>
    <n v="4"/>
    <s v="Bachelors"/>
    <s v="Management"/>
    <s v="Yes"/>
    <n v="4"/>
    <s v="5-10 Miles"/>
    <s v="North America"/>
    <n v="42"/>
    <x v="1"/>
  </r>
  <r>
    <x v="722"/>
    <s v="S"/>
    <x v="0"/>
    <n v="70000"/>
    <n v="3"/>
    <s v="Graduate Degree"/>
    <s v="Management"/>
    <s v="No"/>
    <n v="2"/>
    <s v="1-2 Miles"/>
    <s v="North America"/>
    <n v="53"/>
    <x v="0"/>
  </r>
  <r>
    <x v="723"/>
    <s v="S"/>
    <x v="0"/>
    <n v="80000"/>
    <n v="2"/>
    <s v="Partial High School"/>
    <s v="Skilled Manual"/>
    <s v="Yes"/>
    <n v="2"/>
    <s v="5-10 Miles"/>
    <s v="North America"/>
    <n v="49"/>
    <x v="0"/>
  </r>
  <r>
    <x v="724"/>
    <s v="M"/>
    <x v="1"/>
    <n v="30000"/>
    <n v="2"/>
    <s v="High School"/>
    <s v="Skilled Manual"/>
    <s v="Yes"/>
    <n v="2"/>
    <s v="1-2 Miles"/>
    <s v="North America"/>
    <n v="49"/>
    <x v="0"/>
  </r>
  <r>
    <x v="725"/>
    <s v="M"/>
    <x v="1"/>
    <n v="130000"/>
    <n v="2"/>
    <s v="Graduate Degree"/>
    <s v="Management"/>
    <s v="Yes"/>
    <n v="3"/>
    <s v="0-1 Miles"/>
    <s v="North America"/>
    <n v="42"/>
    <x v="1"/>
  </r>
  <r>
    <x v="726"/>
    <s v="M"/>
    <x v="1"/>
    <n v="20000"/>
    <n v="2"/>
    <s v="High School"/>
    <s v="Manual"/>
    <s v="No"/>
    <n v="2"/>
    <s v="0-1 Miles"/>
    <s v="North America"/>
    <n v="53"/>
    <x v="0"/>
  </r>
  <r>
    <x v="727"/>
    <s v="M"/>
    <x v="1"/>
    <n v="70000"/>
    <n v="1"/>
    <s v="Graduate Degree"/>
    <s v="Professional"/>
    <s v="Yes"/>
    <n v="1"/>
    <s v="0-1 Miles"/>
    <s v="North America"/>
    <n v="46"/>
    <x v="1"/>
  </r>
  <r>
    <x v="728"/>
    <s v="M"/>
    <x v="1"/>
    <n v="40000"/>
    <n v="0"/>
    <s v="High School"/>
    <s v="Skilled Manual"/>
    <s v="Yes"/>
    <n v="2"/>
    <s v="5-10 Miles"/>
    <s v="North America"/>
    <n v="27"/>
    <x v="0"/>
  </r>
  <r>
    <x v="729"/>
    <s v="M"/>
    <x v="0"/>
    <n v="60000"/>
    <n v="3"/>
    <s v="Bachelors"/>
    <s v="Professional"/>
    <s v="Yes"/>
    <n v="1"/>
    <s v="0-1 Miles"/>
    <s v="North America"/>
    <n v="48"/>
    <x v="1"/>
  </r>
  <r>
    <x v="730"/>
    <s v="S"/>
    <x v="0"/>
    <n v="60000"/>
    <n v="4"/>
    <s v="Bachelors"/>
    <s v="Skilled Manual"/>
    <s v="Yes"/>
    <n v="2"/>
    <s v="2-5 Miles"/>
    <s v="North America"/>
    <n v="41"/>
    <x v="1"/>
  </r>
  <r>
    <x v="731"/>
    <s v="M"/>
    <x v="1"/>
    <n v="60000"/>
    <n v="2"/>
    <s v="High School"/>
    <s v="Professional"/>
    <s v="No"/>
    <n v="2"/>
    <s v="1-2 Miles"/>
    <s v="North America"/>
    <n v="49"/>
    <x v="1"/>
  </r>
  <r>
    <x v="732"/>
    <s v="S"/>
    <x v="0"/>
    <n v="60000"/>
    <n v="0"/>
    <s v="Graduate Degree"/>
    <s v="Professional"/>
    <s v="Yes"/>
    <n v="1"/>
    <s v="2-5 Miles"/>
    <s v="North America"/>
    <n v="38"/>
    <x v="1"/>
  </r>
  <r>
    <x v="733"/>
    <s v="S"/>
    <x v="1"/>
    <n v="130000"/>
    <n v="1"/>
    <s v="Bachelors"/>
    <s v="Management"/>
    <s v="No"/>
    <n v="4"/>
    <s v="0-1 Miles"/>
    <s v="North America"/>
    <n v="44"/>
    <x v="0"/>
  </r>
  <r>
    <x v="734"/>
    <s v="S"/>
    <x v="0"/>
    <n v="130000"/>
    <n v="1"/>
    <s v="Bachelors"/>
    <s v="Management"/>
    <s v="No"/>
    <n v="3"/>
    <s v="0-1 Miles"/>
    <s v="North America"/>
    <n v="45"/>
    <x v="1"/>
  </r>
  <r>
    <x v="735"/>
    <s v="S"/>
    <x v="0"/>
    <n v="30000"/>
    <n v="0"/>
    <s v="Partial College"/>
    <s v="Skilled Manual"/>
    <s v="Yes"/>
    <n v="1"/>
    <s v="5-10 Miles"/>
    <s v="North America"/>
    <n v="26"/>
    <x v="0"/>
  </r>
  <r>
    <x v="736"/>
    <s v="M"/>
    <x v="1"/>
    <n v="40000"/>
    <n v="0"/>
    <s v="High School"/>
    <s v="Skilled Manual"/>
    <s v="Yes"/>
    <n v="1"/>
    <s v="5-10 Miles"/>
    <s v="North America"/>
    <n v="31"/>
    <x v="0"/>
  </r>
  <r>
    <x v="737"/>
    <s v="M"/>
    <x v="1"/>
    <n v="70000"/>
    <n v="2"/>
    <s v="Partial High School"/>
    <s v="Skilled Manual"/>
    <s v="No"/>
    <n v="2"/>
    <s v="1-2 Miles"/>
    <s v="North America"/>
    <n v="49"/>
    <x v="0"/>
  </r>
  <r>
    <x v="738"/>
    <s v="S"/>
    <x v="0"/>
    <n v="40000"/>
    <n v="2"/>
    <s v="Partial College"/>
    <s v="Clerical"/>
    <s v="No"/>
    <n v="1"/>
    <s v="1-2 Miles"/>
    <s v="North America"/>
    <n v="47"/>
    <x v="1"/>
  </r>
  <r>
    <x v="739"/>
    <s v="M"/>
    <x v="0"/>
    <n v="60000"/>
    <n v="2"/>
    <s v="Partial College"/>
    <s v="Professional"/>
    <s v="Yes"/>
    <n v="1"/>
    <s v="10+ Miles"/>
    <s v="North America"/>
    <n v="55"/>
    <x v="0"/>
  </r>
  <r>
    <x v="740"/>
    <s v="M"/>
    <x v="1"/>
    <n v="40000"/>
    <n v="4"/>
    <s v="Partial College"/>
    <s v="Clerical"/>
    <s v="No"/>
    <n v="0"/>
    <s v="0-1 Miles"/>
    <s v="North America"/>
    <n v="30"/>
    <x v="0"/>
  </r>
  <r>
    <x v="741"/>
    <s v="M"/>
    <x v="0"/>
    <n v="40000"/>
    <n v="1"/>
    <s v="Partial College"/>
    <s v="Clerical"/>
    <s v="Yes"/>
    <n v="1"/>
    <s v="1-2 Miles"/>
    <s v="North America"/>
    <n v="48"/>
    <x v="1"/>
  </r>
  <r>
    <x v="742"/>
    <s v="S"/>
    <x v="1"/>
    <n v="30000"/>
    <n v="0"/>
    <s v="High School"/>
    <s v="Skilled Manual"/>
    <s v="Yes"/>
    <n v="2"/>
    <s v="5-10 Miles"/>
    <s v="North America"/>
    <n v="30"/>
    <x v="0"/>
  </r>
  <r>
    <x v="743"/>
    <s v="M"/>
    <x v="1"/>
    <n v="110000"/>
    <n v="1"/>
    <s v="Bachelors"/>
    <s v="Management"/>
    <s v="Yes"/>
    <n v="3"/>
    <s v="5-10 Miles"/>
    <s v="North America"/>
    <n v="45"/>
    <x v="0"/>
  </r>
  <r>
    <x v="744"/>
    <s v="M"/>
    <x v="0"/>
    <n v="70000"/>
    <n v="4"/>
    <s v="Partial College"/>
    <s v="Professional"/>
    <s v="Yes"/>
    <n v="1"/>
    <s v="10+ Miles"/>
    <s v="North America"/>
    <n v="56"/>
    <x v="0"/>
  </r>
  <r>
    <x v="745"/>
    <s v="M"/>
    <x v="1"/>
    <n v="60000"/>
    <n v="4"/>
    <s v="Graduate Degree"/>
    <s v="Skilled Manual"/>
    <s v="Yes"/>
    <n v="0"/>
    <s v="1-2 Miles"/>
    <s v="North America"/>
    <n v="47"/>
    <x v="1"/>
  </r>
  <r>
    <x v="746"/>
    <s v="M"/>
    <x v="0"/>
    <n v="60000"/>
    <n v="2"/>
    <s v="Bachelors"/>
    <s v="Management"/>
    <s v="Yes"/>
    <n v="0"/>
    <s v="10+ Miles"/>
    <s v="North America"/>
    <n v="56"/>
    <x v="0"/>
  </r>
  <r>
    <x v="747"/>
    <s v="S"/>
    <x v="0"/>
    <n v="70000"/>
    <n v="1"/>
    <s v="Bachelors"/>
    <s v="Professional"/>
    <s v="No"/>
    <n v="1"/>
    <s v="0-1 Miles"/>
    <s v="North America"/>
    <n v="44"/>
    <x v="0"/>
  </r>
  <r>
    <x v="748"/>
    <s v="M"/>
    <x v="1"/>
    <n v="130000"/>
    <n v="2"/>
    <s v="Graduate Degree"/>
    <s v="Management"/>
    <s v="Yes"/>
    <n v="3"/>
    <s v="2-5 Miles"/>
    <s v="North America"/>
    <n v="69"/>
    <x v="0"/>
  </r>
  <r>
    <x v="749"/>
    <s v="M"/>
    <x v="0"/>
    <n v="70000"/>
    <n v="2"/>
    <s v="Partial College"/>
    <s v="Professional"/>
    <s v="Yes"/>
    <n v="1"/>
    <s v="2-5 Miles"/>
    <s v="North America"/>
    <n v="59"/>
    <x v="0"/>
  </r>
  <r>
    <x v="750"/>
    <s v="M"/>
    <x v="1"/>
    <n v="30000"/>
    <n v="2"/>
    <s v="High School"/>
    <s v="Skilled Manual"/>
    <s v="Yes"/>
    <n v="2"/>
    <s v="1-2 Miles"/>
    <s v="North America"/>
    <n v="50"/>
    <x v="0"/>
  </r>
  <r>
    <x v="751"/>
    <s v="M"/>
    <x v="1"/>
    <n v="60000"/>
    <n v="1"/>
    <s v="Graduate Degree"/>
    <s v="Professional"/>
    <s v="Yes"/>
    <n v="0"/>
    <s v="2-5 Miles"/>
    <s v="North America"/>
    <n v="36"/>
    <x v="0"/>
  </r>
  <r>
    <x v="752"/>
    <s v="M"/>
    <x v="1"/>
    <n v="60000"/>
    <n v="0"/>
    <s v="Partial College"/>
    <s v="Professional"/>
    <s v="Yes"/>
    <n v="2"/>
    <s v="5-10 Miles"/>
    <s v="North America"/>
    <n v="32"/>
    <x v="0"/>
  </r>
  <r>
    <x v="753"/>
    <s v="S"/>
    <x v="0"/>
    <n v="40000"/>
    <n v="0"/>
    <s v="Partial College"/>
    <s v="Skilled Manual"/>
    <s v="No"/>
    <n v="1"/>
    <s v="1-2 Miles"/>
    <s v="North America"/>
    <n v="27"/>
    <x v="0"/>
  </r>
  <r>
    <x v="754"/>
    <s v="M"/>
    <x v="0"/>
    <n v="40000"/>
    <n v="4"/>
    <s v="High School"/>
    <s v="Professional"/>
    <s v="Yes"/>
    <n v="2"/>
    <s v="5-10 Miles"/>
    <s v="North America"/>
    <n v="59"/>
    <x v="1"/>
  </r>
  <r>
    <x v="755"/>
    <s v="M"/>
    <x v="1"/>
    <n v="60000"/>
    <n v="3"/>
    <s v="High School"/>
    <s v="Professional"/>
    <s v="No"/>
    <n v="2"/>
    <s v="2-5 Miles"/>
    <s v="North America"/>
    <n v="53"/>
    <x v="0"/>
  </r>
  <r>
    <x v="756"/>
    <s v="M"/>
    <x v="1"/>
    <n v="40000"/>
    <n v="1"/>
    <s v="Bachelors"/>
    <s v="Skilled Manual"/>
    <s v="No"/>
    <n v="1"/>
    <s v="0-1 Miles"/>
    <s v="North America"/>
    <n v="36"/>
    <x v="1"/>
  </r>
  <r>
    <x v="757"/>
    <s v="S"/>
    <x v="1"/>
    <n v="30000"/>
    <n v="1"/>
    <s v="High School"/>
    <s v="Clerical"/>
    <s v="Yes"/>
    <n v="2"/>
    <s v="1-2 Miles"/>
    <s v="North America"/>
    <n v="51"/>
    <x v="1"/>
  </r>
  <r>
    <x v="758"/>
    <s v="S"/>
    <x v="0"/>
    <n v="80000"/>
    <n v="5"/>
    <s v="Graduate Degree"/>
    <s v="Skilled Manual"/>
    <s v="No"/>
    <n v="0"/>
    <s v="0-1 Miles"/>
    <s v="North America"/>
    <n v="47"/>
    <x v="0"/>
  </r>
  <r>
    <x v="759"/>
    <s v="S"/>
    <x v="0"/>
    <n v="60000"/>
    <n v="3"/>
    <s v="Graduate Degree"/>
    <s v="Professional"/>
    <s v="Yes"/>
    <n v="0"/>
    <s v="2-5 Miles"/>
    <s v="North America"/>
    <n v="43"/>
    <x v="1"/>
  </r>
  <r>
    <x v="760"/>
    <s v="S"/>
    <x v="1"/>
    <n v="20000"/>
    <n v="3"/>
    <s v="Partial High School"/>
    <s v="Clerical"/>
    <s v="No"/>
    <n v="2"/>
    <s v="0-1 Miles"/>
    <s v="North America"/>
    <n v="50"/>
    <x v="0"/>
  </r>
  <r>
    <x v="761"/>
    <s v="M"/>
    <x v="0"/>
    <n v="60000"/>
    <n v="5"/>
    <s v="Bachelors"/>
    <s v="Management"/>
    <s v="Yes"/>
    <n v="3"/>
    <s v="10+ Miles"/>
    <s v="North America"/>
    <n v="59"/>
    <x v="0"/>
  </r>
  <r>
    <x v="762"/>
    <s v="S"/>
    <x v="1"/>
    <n v="50000"/>
    <n v="2"/>
    <s v="Bachelors"/>
    <s v="Skilled Manual"/>
    <s v="Yes"/>
    <n v="0"/>
    <s v="2-5 Miles"/>
    <s v="North America"/>
    <n v="37"/>
    <x v="1"/>
  </r>
  <r>
    <x v="763"/>
    <s v="M"/>
    <x v="1"/>
    <n v="50000"/>
    <n v="1"/>
    <s v="Graduate Degree"/>
    <s v="Skilled Manual"/>
    <s v="Yes"/>
    <n v="0"/>
    <s v="0-1 Miles"/>
    <s v="North America"/>
    <n v="33"/>
    <x v="1"/>
  </r>
  <r>
    <x v="764"/>
    <s v="M"/>
    <x v="0"/>
    <n v="60000"/>
    <n v="0"/>
    <s v="Partial College"/>
    <s v="Skilled Manual"/>
    <s v="No"/>
    <n v="1"/>
    <s v="1-2 Miles"/>
    <s v="North America"/>
    <n v="27"/>
    <x v="0"/>
  </r>
  <r>
    <x v="765"/>
    <s v="S"/>
    <x v="0"/>
    <n v="70000"/>
    <n v="0"/>
    <s v="Partial College"/>
    <s v="Skilled Manual"/>
    <s v="Yes"/>
    <n v="2"/>
    <s v="5-10 Miles"/>
    <s v="North America"/>
    <n v="34"/>
    <x v="1"/>
  </r>
  <r>
    <x v="766"/>
    <s v="M"/>
    <x v="1"/>
    <n v="50000"/>
    <n v="4"/>
    <s v="Bachelors"/>
    <s v="Skilled Manual"/>
    <s v="Yes"/>
    <n v="3"/>
    <s v="10+ Miles"/>
    <s v="North America"/>
    <n v="42"/>
    <x v="0"/>
  </r>
  <r>
    <x v="767"/>
    <s v="M"/>
    <x v="0"/>
    <n v="60000"/>
    <n v="2"/>
    <s v="Partial College"/>
    <s v="Professional"/>
    <s v="Yes"/>
    <n v="2"/>
    <s v="2-5 Miles"/>
    <s v="North America"/>
    <n v="57"/>
    <x v="1"/>
  </r>
  <r>
    <x v="768"/>
    <s v="M"/>
    <x v="0"/>
    <n v="120000"/>
    <n v="1"/>
    <s v="High School"/>
    <s v="Professional"/>
    <s v="No"/>
    <n v="4"/>
    <s v="2-5 Miles"/>
    <s v="North America"/>
    <n v="45"/>
    <x v="0"/>
  </r>
  <r>
    <x v="769"/>
    <s v="M"/>
    <x v="0"/>
    <n v="100000"/>
    <n v="4"/>
    <s v="Bachelors"/>
    <s v="Management"/>
    <s v="Yes"/>
    <n v="4"/>
    <s v="0-1 Miles"/>
    <s v="North America"/>
    <n v="40"/>
    <x v="0"/>
  </r>
  <r>
    <x v="770"/>
    <s v="M"/>
    <x v="1"/>
    <n v="60000"/>
    <n v="1"/>
    <s v="Graduate Degree"/>
    <s v="Skilled Manual"/>
    <s v="No"/>
    <n v="0"/>
    <s v="0-1 Miles"/>
    <s v="North America"/>
    <n v="55"/>
    <x v="0"/>
  </r>
  <r>
    <x v="771"/>
    <s v="M"/>
    <x v="1"/>
    <n v="80000"/>
    <n v="1"/>
    <s v="Partial College"/>
    <s v="Skilled Manual"/>
    <s v="No"/>
    <n v="1"/>
    <s v="0-1 Miles"/>
    <s v="North America"/>
    <n v="47"/>
    <x v="1"/>
  </r>
  <r>
    <x v="772"/>
    <s v="S"/>
    <x v="1"/>
    <n v="60000"/>
    <n v="4"/>
    <s v="Graduate Degree"/>
    <s v="Skilled Manual"/>
    <s v="Yes"/>
    <n v="0"/>
    <s v="1-2 Miles"/>
    <s v="North America"/>
    <n v="47"/>
    <x v="1"/>
  </r>
  <r>
    <x v="773"/>
    <s v="M"/>
    <x v="0"/>
    <n v="60000"/>
    <n v="1"/>
    <s v="Graduate Degree"/>
    <s v="Skilled Manual"/>
    <s v="Yes"/>
    <n v="0"/>
    <s v="0-1 Miles"/>
    <s v="North America"/>
    <n v="34"/>
    <x v="0"/>
  </r>
  <r>
    <x v="774"/>
    <s v="M"/>
    <x v="0"/>
    <n v="80000"/>
    <n v="3"/>
    <s v="Graduate Degree"/>
    <s v="Professional"/>
    <s v="Yes"/>
    <n v="0"/>
    <s v="0-1 Miles"/>
    <s v="North America"/>
    <n v="36"/>
    <x v="1"/>
  </r>
  <r>
    <x v="775"/>
    <s v="M"/>
    <x v="1"/>
    <n v="70000"/>
    <n v="2"/>
    <s v="Partial High School"/>
    <s v="Skilled Manual"/>
    <s v="Yes"/>
    <n v="2"/>
    <s v="10+ Miles"/>
    <s v="North America"/>
    <n v="54"/>
    <x v="0"/>
  </r>
  <r>
    <x v="776"/>
    <s v="S"/>
    <x v="1"/>
    <n v="70000"/>
    <n v="2"/>
    <s v="Bachelors"/>
    <s v="Management"/>
    <s v="No"/>
    <n v="1"/>
    <s v="2-5 Miles"/>
    <s v="North America"/>
    <n v="59"/>
    <x v="1"/>
  </r>
  <r>
    <x v="777"/>
    <s v="S"/>
    <x v="1"/>
    <n v="40000"/>
    <n v="0"/>
    <s v="High School"/>
    <s v="Skilled Manual"/>
    <s v="Yes"/>
    <n v="2"/>
    <s v="5-10 Miles"/>
    <s v="North America"/>
    <n v="27"/>
    <x v="0"/>
  </r>
  <r>
    <x v="778"/>
    <s v="M"/>
    <x v="1"/>
    <n v="90000"/>
    <n v="5"/>
    <s v="Partial College"/>
    <s v="Professional"/>
    <s v="Yes"/>
    <n v="3"/>
    <s v="0-1 Miles"/>
    <s v="North America"/>
    <n v="41"/>
    <x v="0"/>
  </r>
  <r>
    <x v="779"/>
    <s v="M"/>
    <x v="1"/>
    <n v="80000"/>
    <n v="3"/>
    <s v="Partial College"/>
    <s v="Professional"/>
    <s v="No"/>
    <n v="2"/>
    <s v="2-5 Miles"/>
    <s v="North America"/>
    <n v="50"/>
    <x v="1"/>
  </r>
  <r>
    <x v="780"/>
    <s v="M"/>
    <x v="0"/>
    <n v="60000"/>
    <n v="2"/>
    <s v="Partial College"/>
    <s v="Professional"/>
    <s v="Yes"/>
    <n v="1"/>
    <s v="10+ Miles"/>
    <s v="North America"/>
    <n v="55"/>
    <x v="0"/>
  </r>
  <r>
    <x v="781"/>
    <s v="M"/>
    <x v="1"/>
    <n v="80000"/>
    <n v="4"/>
    <s v="Bachelors"/>
    <s v="Management"/>
    <s v="Yes"/>
    <n v="0"/>
    <s v="0-1 Miles"/>
    <s v="North America"/>
    <n v="43"/>
    <x v="0"/>
  </r>
  <r>
    <x v="782"/>
    <s v="S"/>
    <x v="1"/>
    <n v="70000"/>
    <n v="4"/>
    <s v="Bachelors"/>
    <s v="Professional"/>
    <s v="Yes"/>
    <n v="2"/>
    <s v="2-5 Miles"/>
    <s v="North America"/>
    <n v="43"/>
    <x v="1"/>
  </r>
  <r>
    <x v="783"/>
    <s v="M"/>
    <x v="1"/>
    <n v="60000"/>
    <n v="4"/>
    <s v="Bachelors"/>
    <s v="Skilled Manual"/>
    <s v="Yes"/>
    <n v="3"/>
    <s v="5-10 Miles"/>
    <s v="North America"/>
    <n v="42"/>
    <x v="0"/>
  </r>
  <r>
    <x v="784"/>
    <s v="S"/>
    <x v="0"/>
    <n v="10000"/>
    <n v="2"/>
    <s v="High School"/>
    <s v="Manual"/>
    <s v="Yes"/>
    <n v="2"/>
    <s v="1-2 Miles"/>
    <s v="North America"/>
    <n v="53"/>
    <x v="1"/>
  </r>
  <r>
    <x v="785"/>
    <s v="S"/>
    <x v="0"/>
    <n v="40000"/>
    <n v="0"/>
    <s v="High School"/>
    <s v="Skilled Manual"/>
    <s v="No"/>
    <n v="2"/>
    <s v="0-1 Miles"/>
    <s v="North America"/>
    <n v="28"/>
    <x v="1"/>
  </r>
  <r>
    <x v="786"/>
    <s v="M"/>
    <x v="0"/>
    <n v="50000"/>
    <n v="1"/>
    <s v="Bachelors"/>
    <s v="Skilled Manual"/>
    <s v="Yes"/>
    <n v="1"/>
    <s v="0-1 Miles"/>
    <s v="North America"/>
    <n v="35"/>
    <x v="0"/>
  </r>
  <r>
    <x v="787"/>
    <s v="S"/>
    <x v="0"/>
    <n v="70000"/>
    <n v="2"/>
    <s v="Bachelors"/>
    <s v="Management"/>
    <s v="No"/>
    <n v="1"/>
    <s v="2-5 Miles"/>
    <s v="North America"/>
    <n v="59"/>
    <x v="1"/>
  </r>
  <r>
    <x v="788"/>
    <s v="S"/>
    <x v="0"/>
    <n v="20000"/>
    <n v="2"/>
    <s v="Partial High School"/>
    <s v="Clerical"/>
    <s v="Yes"/>
    <n v="2"/>
    <s v="1-2 Miles"/>
    <s v="North America"/>
    <n v="49"/>
    <x v="0"/>
  </r>
  <r>
    <x v="789"/>
    <s v="M"/>
    <x v="1"/>
    <n v="60000"/>
    <n v="2"/>
    <s v="High School"/>
    <s v="Professional"/>
    <s v="No"/>
    <n v="2"/>
    <s v="1-2 Miles"/>
    <s v="North America"/>
    <n v="48"/>
    <x v="1"/>
  </r>
  <r>
    <x v="790"/>
    <s v="S"/>
    <x v="0"/>
    <n v="80000"/>
    <n v="2"/>
    <s v="Partial High School"/>
    <s v="Skilled Manual"/>
    <s v="No"/>
    <n v="2"/>
    <s v="1-2 Miles"/>
    <s v="North America"/>
    <n v="50"/>
    <x v="0"/>
  </r>
  <r>
    <x v="791"/>
    <s v="M"/>
    <x v="1"/>
    <n v="40000"/>
    <n v="0"/>
    <s v="High School"/>
    <s v="Skilled Manual"/>
    <s v="Yes"/>
    <n v="2"/>
    <s v="5-10 Miles"/>
    <s v="North America"/>
    <n v="28"/>
    <x v="1"/>
  </r>
  <r>
    <x v="792"/>
    <s v="S"/>
    <x v="1"/>
    <n v="30000"/>
    <n v="1"/>
    <s v="High School"/>
    <s v="Clerical"/>
    <s v="No"/>
    <n v="1"/>
    <s v="5-10 Miles"/>
    <s v="North America"/>
    <n v="52"/>
    <x v="0"/>
  </r>
  <r>
    <x v="793"/>
    <s v="M"/>
    <x v="1"/>
    <n v="30000"/>
    <n v="1"/>
    <s v="High School"/>
    <s v="Clerical"/>
    <s v="Yes"/>
    <n v="1"/>
    <s v="2-5 Miles"/>
    <s v="North America"/>
    <n v="52"/>
    <x v="1"/>
  </r>
  <r>
    <x v="794"/>
    <s v="M"/>
    <x v="1"/>
    <n v="50000"/>
    <n v="2"/>
    <s v="Graduate Degree"/>
    <s v="Management"/>
    <s v="Yes"/>
    <n v="2"/>
    <s v="5-10 Miles"/>
    <s v="North America"/>
    <n v="69"/>
    <x v="0"/>
  </r>
  <r>
    <x v="795"/>
    <s v="S"/>
    <x v="1"/>
    <n v="60000"/>
    <n v="2"/>
    <s v="High School"/>
    <s v="Professional"/>
    <s v="Yes"/>
    <n v="2"/>
    <s v="5-10 Miles"/>
    <s v="North America"/>
    <n v="51"/>
    <x v="0"/>
  </r>
  <r>
    <x v="796"/>
    <s v="M"/>
    <x v="1"/>
    <n v="70000"/>
    <n v="5"/>
    <s v="Partial College"/>
    <s v="Professional"/>
    <s v="Yes"/>
    <n v="2"/>
    <s v="1-2 Miles"/>
    <s v="North America"/>
    <n v="57"/>
    <x v="1"/>
  </r>
  <r>
    <x v="797"/>
    <s v="S"/>
    <x v="1"/>
    <n v="60000"/>
    <n v="0"/>
    <s v="Partial College"/>
    <s v="Skilled Manual"/>
    <s v="Yes"/>
    <n v="1"/>
    <s v="5-10 Miles"/>
    <s v="North America"/>
    <n v="27"/>
    <x v="1"/>
  </r>
  <r>
    <x v="798"/>
    <s v="S"/>
    <x v="0"/>
    <n v="30000"/>
    <n v="0"/>
    <s v="High School"/>
    <s v="Skilled Manual"/>
    <s v="No"/>
    <n v="2"/>
    <s v="0-1 Miles"/>
    <s v="North America"/>
    <n v="25"/>
    <x v="1"/>
  </r>
  <r>
    <x v="799"/>
    <s v="S"/>
    <x v="0"/>
    <n v="50000"/>
    <n v="1"/>
    <s v="Graduate Degree"/>
    <s v="Skilled Manual"/>
    <s v="Yes"/>
    <n v="0"/>
    <s v="1-2 Miles"/>
    <s v="North America"/>
    <n v="33"/>
    <x v="1"/>
  </r>
  <r>
    <x v="800"/>
    <s v="S"/>
    <x v="1"/>
    <n v="60000"/>
    <n v="4"/>
    <s v="Bachelors"/>
    <s v="Professional"/>
    <s v="Yes"/>
    <n v="2"/>
    <s v="2-5 Miles"/>
    <s v="North America"/>
    <n v="43"/>
    <x v="1"/>
  </r>
  <r>
    <x v="801"/>
    <s v="M"/>
    <x v="1"/>
    <n v="70000"/>
    <n v="4"/>
    <s v="Graduate Degree"/>
    <s v="Management"/>
    <s v="Yes"/>
    <n v="2"/>
    <s v="5-10 Miles"/>
    <s v="North America"/>
    <n v="73"/>
    <x v="0"/>
  </r>
  <r>
    <x v="802"/>
    <s v="M"/>
    <x v="1"/>
    <n v="40000"/>
    <n v="0"/>
    <s v="Partial College"/>
    <s v="Skilled Manual"/>
    <s v="Yes"/>
    <n v="1"/>
    <s v="5-10 Miles"/>
    <s v="North America"/>
    <n v="27"/>
    <x v="0"/>
  </r>
  <r>
    <x v="803"/>
    <s v="M"/>
    <x v="1"/>
    <n v="40000"/>
    <n v="0"/>
    <s v="High School"/>
    <s v="Skilled Manual"/>
    <s v="Yes"/>
    <n v="2"/>
    <s v="5-10 Miles"/>
    <s v="North America"/>
    <n v="28"/>
    <x v="1"/>
  </r>
  <r>
    <x v="804"/>
    <s v="M"/>
    <x v="1"/>
    <n v="40000"/>
    <n v="0"/>
    <s v="High School"/>
    <s v="Skilled Manual"/>
    <s v="No"/>
    <n v="2"/>
    <s v="0-1 Miles"/>
    <s v="North America"/>
    <n v="27"/>
    <x v="1"/>
  </r>
  <r>
    <x v="805"/>
    <s v="S"/>
    <x v="0"/>
    <n v="40000"/>
    <n v="0"/>
    <s v="High School"/>
    <s v="Skilled Manual"/>
    <s v="Yes"/>
    <n v="2"/>
    <s v="5-10 Miles"/>
    <s v="North America"/>
    <n v="31"/>
    <x v="0"/>
  </r>
  <r>
    <x v="806"/>
    <s v="M"/>
    <x v="0"/>
    <n v="10000"/>
    <n v="2"/>
    <s v="High School"/>
    <s v="Manual"/>
    <s v="Yes"/>
    <n v="2"/>
    <s v="1-2 Miles"/>
    <s v="North America"/>
    <n v="53"/>
    <x v="0"/>
  </r>
  <r>
    <x v="807"/>
    <s v="S"/>
    <x v="0"/>
    <n v="60000"/>
    <n v="0"/>
    <s v="Partial College"/>
    <s v="Professional"/>
    <s v="No"/>
    <n v="2"/>
    <s v="1-2 Miles"/>
    <s v="North America"/>
    <n v="32"/>
    <x v="1"/>
  </r>
  <r>
    <x v="808"/>
    <s v="S"/>
    <x v="1"/>
    <n v="30000"/>
    <n v="2"/>
    <s v="High School"/>
    <s v="Skilled Manual"/>
    <s v="Yes"/>
    <n v="2"/>
    <s v="1-2 Miles"/>
    <s v="North America"/>
    <n v="50"/>
    <x v="1"/>
  </r>
  <r>
    <x v="809"/>
    <s v="M"/>
    <x v="0"/>
    <n v="40000"/>
    <n v="4"/>
    <s v="High School"/>
    <s v="Professional"/>
    <s v="Yes"/>
    <n v="2"/>
    <s v="5-10 Miles"/>
    <s v="North America"/>
    <n v="69"/>
    <x v="0"/>
  </r>
  <r>
    <x v="810"/>
    <s v="S"/>
    <x v="0"/>
    <n v="70000"/>
    <n v="3"/>
    <s v="Graduate Degree"/>
    <s v="Management"/>
    <s v="Yes"/>
    <n v="2"/>
    <s v="5-10 Miles"/>
    <s v="North America"/>
    <n v="52"/>
    <x v="1"/>
  </r>
  <r>
    <x v="811"/>
    <s v="M"/>
    <x v="1"/>
    <n v="60000"/>
    <n v="0"/>
    <s v="Partial College"/>
    <s v="Skilled Manual"/>
    <s v="No"/>
    <n v="2"/>
    <s v="1-2 Miles"/>
    <s v="North America"/>
    <n v="31"/>
    <x v="0"/>
  </r>
  <r>
    <x v="812"/>
    <s v="S"/>
    <x v="0"/>
    <n v="70000"/>
    <n v="4"/>
    <s v="Bachelors"/>
    <s v="Management"/>
    <s v="Yes"/>
    <n v="2"/>
    <s v="10+ Miles"/>
    <s v="North America"/>
    <n v="61"/>
    <x v="0"/>
  </r>
  <r>
    <x v="813"/>
    <s v="M"/>
    <x v="0"/>
    <n v="70000"/>
    <n v="2"/>
    <s v="High School"/>
    <s v="Professional"/>
    <s v="Yes"/>
    <n v="2"/>
    <s v="10+ Miles"/>
    <s v="North America"/>
    <n v="53"/>
    <x v="0"/>
  </r>
  <r>
    <x v="814"/>
    <s v="S"/>
    <x v="0"/>
    <n v="70000"/>
    <n v="4"/>
    <s v="Bachelors"/>
    <s v="Management"/>
    <s v="Yes"/>
    <n v="2"/>
    <s v="1-2 Miles"/>
    <s v="North America"/>
    <n v="62"/>
    <x v="1"/>
  </r>
  <r>
    <x v="815"/>
    <s v="M"/>
    <x v="1"/>
    <n v="40000"/>
    <n v="0"/>
    <s v="Partial College"/>
    <s v="Skilled Manual"/>
    <s v="No"/>
    <n v="2"/>
    <s v="1-2 Miles"/>
    <s v="North America"/>
    <n v="30"/>
    <x v="0"/>
  </r>
  <r>
    <x v="816"/>
    <s v="M"/>
    <x v="0"/>
    <n v="60000"/>
    <n v="3"/>
    <s v="Graduate Degree"/>
    <s v="Professional"/>
    <s v="Yes"/>
    <n v="0"/>
    <s v="2-5 Miles"/>
    <s v="North America"/>
    <n v="43"/>
    <x v="1"/>
  </r>
  <r>
    <x v="817"/>
    <s v="M"/>
    <x v="0"/>
    <n v="60000"/>
    <n v="3"/>
    <s v="Graduate Degree"/>
    <s v="Professional"/>
    <s v="Yes"/>
    <n v="0"/>
    <s v="2-5 Miles"/>
    <s v="North America"/>
    <n v="42"/>
    <x v="1"/>
  </r>
  <r>
    <x v="818"/>
    <s v="M"/>
    <x v="1"/>
    <n v="40000"/>
    <n v="0"/>
    <s v="Partial College"/>
    <s v="Skilled Manual"/>
    <s v="Yes"/>
    <n v="1"/>
    <s v="5-10 Miles"/>
    <s v="North America"/>
    <n v="30"/>
    <x v="0"/>
  </r>
  <r>
    <x v="819"/>
    <s v="S"/>
    <x v="0"/>
    <n v="40000"/>
    <n v="0"/>
    <s v="High School"/>
    <s v="Skilled Manual"/>
    <s v="Yes"/>
    <n v="2"/>
    <s v="5-10 Miles"/>
    <s v="North America"/>
    <n v="30"/>
    <x v="0"/>
  </r>
  <r>
    <x v="820"/>
    <s v="S"/>
    <x v="1"/>
    <n v="110000"/>
    <n v="1"/>
    <s v="Bachelors"/>
    <s v="Management"/>
    <s v="Yes"/>
    <n v="1"/>
    <s v="5-10 Miles"/>
    <s v="North America"/>
    <n v="43"/>
    <x v="0"/>
  </r>
  <r>
    <x v="821"/>
    <s v="M"/>
    <x v="1"/>
    <n v="60000"/>
    <n v="0"/>
    <s v="Partial College"/>
    <s v="Skilled Manual"/>
    <s v="Yes"/>
    <n v="2"/>
    <s v="5-10 Miles"/>
    <s v="North America"/>
    <n v="33"/>
    <x v="1"/>
  </r>
  <r>
    <x v="822"/>
    <s v="M"/>
    <x v="1"/>
    <n v="30000"/>
    <n v="0"/>
    <s v="High School"/>
    <s v="Skilled Manual"/>
    <s v="Yes"/>
    <n v="2"/>
    <s v="5-10 Miles"/>
    <s v="North America"/>
    <n v="32"/>
    <x v="0"/>
  </r>
  <r>
    <x v="823"/>
    <s v="S"/>
    <x v="0"/>
    <n v="70000"/>
    <n v="4"/>
    <s v="High School"/>
    <s v="Professional"/>
    <s v="Yes"/>
    <n v="0"/>
    <s v="5-10 Miles"/>
    <s v="North America"/>
    <n v="50"/>
    <x v="1"/>
  </r>
  <r>
    <x v="824"/>
    <s v="S"/>
    <x v="1"/>
    <n v="110000"/>
    <n v="2"/>
    <s v="Bachelors"/>
    <s v="Management"/>
    <s v="No"/>
    <n v="3"/>
    <s v="0-1 Miles"/>
    <s v="North America"/>
    <n v="37"/>
    <x v="1"/>
  </r>
  <r>
    <x v="825"/>
    <s v="M"/>
    <x v="1"/>
    <n v="70000"/>
    <n v="3"/>
    <s v="High School"/>
    <s v="Professional"/>
    <s v="No"/>
    <n v="1"/>
    <s v="1-2 Miles"/>
    <s v="North America"/>
    <n v="52"/>
    <x v="1"/>
  </r>
  <r>
    <x v="826"/>
    <s v="M"/>
    <x v="1"/>
    <n v="70000"/>
    <n v="4"/>
    <s v="Graduate Degree"/>
    <s v="Professional"/>
    <s v="Yes"/>
    <n v="0"/>
    <s v="2-5 Miles"/>
    <s v="North America"/>
    <n v="36"/>
    <x v="1"/>
  </r>
  <r>
    <x v="827"/>
    <s v="S"/>
    <x v="0"/>
    <n v="80000"/>
    <n v="3"/>
    <s v="Bachelors"/>
    <s v="Skilled Manual"/>
    <s v="Yes"/>
    <n v="2"/>
    <s v="2-5 Miles"/>
    <s v="North America"/>
    <n v="41"/>
    <x v="1"/>
  </r>
  <r>
    <x v="828"/>
    <s v="S"/>
    <x v="0"/>
    <n v="40000"/>
    <n v="0"/>
    <s v="Partial High School"/>
    <s v="Clerical"/>
    <s v="Yes"/>
    <n v="2"/>
    <s v="5-10 Miles"/>
    <s v="North America"/>
    <n v="26"/>
    <x v="0"/>
  </r>
  <r>
    <x v="829"/>
    <s v="S"/>
    <x v="1"/>
    <n v="170000"/>
    <n v="1"/>
    <s v="Graduate Degree"/>
    <s v="Management"/>
    <s v="No"/>
    <n v="4"/>
    <s v="0-1 Miles"/>
    <s v="North America"/>
    <n v="66"/>
    <x v="0"/>
  </r>
  <r>
    <x v="830"/>
    <s v="M"/>
    <x v="1"/>
    <n v="60000"/>
    <n v="2"/>
    <s v="High School"/>
    <s v="Professional"/>
    <s v="No"/>
    <n v="2"/>
    <s v="5-10 Miles"/>
    <s v="North America"/>
    <n v="51"/>
    <x v="0"/>
  </r>
  <r>
    <x v="831"/>
    <s v="M"/>
    <x v="0"/>
    <n v="70000"/>
    <n v="4"/>
    <s v="Bachelors"/>
    <s v="Professional"/>
    <s v="Yes"/>
    <n v="2"/>
    <s v="0-1 Miles"/>
    <s v="North America"/>
    <n v="43"/>
    <x v="1"/>
  </r>
  <r>
    <x v="832"/>
    <s v="M"/>
    <x v="0"/>
    <n v="60000"/>
    <n v="0"/>
    <s v="Graduate Degree"/>
    <s v="Professional"/>
    <s v="Yes"/>
    <n v="0"/>
    <s v="0-1 Miles"/>
    <s v="North America"/>
    <n v="39"/>
    <x v="0"/>
  </r>
  <r>
    <x v="833"/>
    <s v="S"/>
    <x v="0"/>
    <n v="70000"/>
    <n v="0"/>
    <s v="Bachelors"/>
    <s v="Professional"/>
    <s v="No"/>
    <n v="1"/>
    <s v="0-1 Miles"/>
    <s v="North America"/>
    <n v="37"/>
    <x v="1"/>
  </r>
  <r>
    <x v="834"/>
    <s v="S"/>
    <x v="0"/>
    <n v="70000"/>
    <n v="2"/>
    <s v="Partial High School"/>
    <s v="Skilled Manual"/>
    <s v="No"/>
    <n v="2"/>
    <s v="2-5 Miles"/>
    <s v="North America"/>
    <n v="54"/>
    <x v="1"/>
  </r>
  <r>
    <x v="835"/>
    <s v="S"/>
    <x v="0"/>
    <n v="60000"/>
    <n v="3"/>
    <s v="Bachelors"/>
    <s v="Skilled Manual"/>
    <s v="Yes"/>
    <n v="0"/>
    <s v="2-5 Miles"/>
    <s v="North America"/>
    <n v="40"/>
    <x v="1"/>
  </r>
  <r>
    <x v="836"/>
    <s v="M"/>
    <x v="0"/>
    <n v="40000"/>
    <n v="0"/>
    <s v="Partial College"/>
    <s v="Skilled Manual"/>
    <s v="Yes"/>
    <n v="2"/>
    <s v="5-10 Miles"/>
    <s v="North America"/>
    <n v="28"/>
    <x v="0"/>
  </r>
  <r>
    <x v="837"/>
    <s v="M"/>
    <x v="1"/>
    <n v="60000"/>
    <n v="1"/>
    <s v="Graduate Degree"/>
    <s v="Skilled Manual"/>
    <s v="Yes"/>
    <n v="0"/>
    <s v="0-1 Miles"/>
    <s v="North America"/>
    <n v="33"/>
    <x v="0"/>
  </r>
  <r>
    <x v="838"/>
    <s v="S"/>
    <x v="0"/>
    <n v="80000"/>
    <n v="3"/>
    <s v="Bachelors"/>
    <s v="Skilled Manual"/>
    <s v="Yes"/>
    <n v="2"/>
    <s v="2-5 Miles"/>
    <s v="North America"/>
    <n v="41"/>
    <x v="1"/>
  </r>
  <r>
    <x v="839"/>
    <s v="S"/>
    <x v="0"/>
    <n v="80000"/>
    <n v="3"/>
    <s v="Graduate Degree"/>
    <s v="Professional"/>
    <s v="Yes"/>
    <n v="0"/>
    <s v="0-1 Miles"/>
    <s v="North America"/>
    <n v="37"/>
    <x v="1"/>
  </r>
  <r>
    <x v="840"/>
    <s v="M"/>
    <x v="1"/>
    <n v="70000"/>
    <n v="4"/>
    <s v="Partial College"/>
    <s v="Professional"/>
    <s v="Yes"/>
    <n v="2"/>
    <s v="10+ Miles"/>
    <s v="North America"/>
    <n v="53"/>
    <x v="0"/>
  </r>
  <r>
    <x v="841"/>
    <s v="M"/>
    <x v="1"/>
    <n v="120000"/>
    <n v="2"/>
    <s v="Graduate Degree"/>
    <s v="Management"/>
    <s v="Yes"/>
    <n v="3"/>
    <s v="5-10 Miles"/>
    <s v="North America"/>
    <n v="64"/>
    <x v="0"/>
  </r>
  <r>
    <x v="842"/>
    <s v="M"/>
    <x v="0"/>
    <n v="60000"/>
    <n v="1"/>
    <s v="Partial College"/>
    <s v="Skilled Manual"/>
    <s v="Yes"/>
    <n v="1"/>
    <s v="2-5 Miles"/>
    <s v="North America"/>
    <n v="45"/>
    <x v="1"/>
  </r>
  <r>
    <x v="843"/>
    <s v="S"/>
    <x v="1"/>
    <n v="80000"/>
    <n v="2"/>
    <s v="Partial High School"/>
    <s v="Skilled Manual"/>
    <s v="No"/>
    <n v="2"/>
    <s v="1-2 Miles"/>
    <s v="North America"/>
    <n v="52"/>
    <x v="0"/>
  </r>
  <r>
    <x v="844"/>
    <s v="M"/>
    <x v="0"/>
    <n v="40000"/>
    <n v="5"/>
    <s v="High School"/>
    <s v="Professional"/>
    <s v="Yes"/>
    <n v="2"/>
    <s v="10+ Miles"/>
    <s v="North America"/>
    <n v="60"/>
    <x v="0"/>
  </r>
  <r>
    <x v="845"/>
    <s v="S"/>
    <x v="0"/>
    <n v="20000"/>
    <n v="3"/>
    <s v="Partial High School"/>
    <s v="Clerical"/>
    <s v="Yes"/>
    <n v="2"/>
    <s v="1-2 Miles"/>
    <s v="North America"/>
    <n v="50"/>
    <x v="0"/>
  </r>
  <r>
    <x v="846"/>
    <s v="M"/>
    <x v="0"/>
    <n v="70000"/>
    <n v="4"/>
    <s v="Partial College"/>
    <s v="Professional"/>
    <s v="No"/>
    <n v="1"/>
    <s v="1-2 Miles"/>
    <s v="North America"/>
    <n v="56"/>
    <x v="0"/>
  </r>
  <r>
    <x v="847"/>
    <s v="S"/>
    <x v="0"/>
    <n v="40000"/>
    <n v="0"/>
    <s v="Partial High School"/>
    <s v="Clerical"/>
    <s v="Yes"/>
    <n v="2"/>
    <s v="5-10 Miles"/>
    <s v="North America"/>
    <n v="29"/>
    <x v="0"/>
  </r>
  <r>
    <x v="848"/>
    <s v="S"/>
    <x v="1"/>
    <n v="130000"/>
    <n v="0"/>
    <s v="Graduate Degree"/>
    <s v="Management"/>
    <s v="No"/>
    <n v="2"/>
    <s v="0-1 Miles"/>
    <s v="North America"/>
    <n v="38"/>
    <x v="1"/>
  </r>
  <r>
    <x v="849"/>
    <s v="M"/>
    <x v="0"/>
    <n v="40000"/>
    <n v="5"/>
    <s v="High School"/>
    <s v="Professional"/>
    <s v="No"/>
    <n v="2"/>
    <s v="2-5 Miles"/>
    <s v="North America"/>
    <n v="60"/>
    <x v="0"/>
  </r>
  <r>
    <x v="850"/>
    <s v="S"/>
    <x v="0"/>
    <n v="130000"/>
    <n v="2"/>
    <s v="Bachelors"/>
    <s v="Management"/>
    <s v="No"/>
    <n v="4"/>
    <s v="0-1 Miles"/>
    <s v="North America"/>
    <n v="67"/>
    <x v="0"/>
  </r>
  <r>
    <x v="851"/>
    <s v="M"/>
    <x v="1"/>
    <n v="60000"/>
    <n v="0"/>
    <s v="Partial College"/>
    <s v="Skilled Manual"/>
    <s v="Yes"/>
    <n v="1"/>
    <s v="5-10 Miles"/>
    <s v="North America"/>
    <n v="32"/>
    <x v="1"/>
  </r>
  <r>
    <x v="852"/>
    <s v="S"/>
    <x v="1"/>
    <n v="50000"/>
    <n v="2"/>
    <s v="Bachelors"/>
    <s v="Skilled Manual"/>
    <s v="No"/>
    <n v="1"/>
    <s v="0-1 Miles"/>
    <s v="North America"/>
    <n v="39"/>
    <x v="1"/>
  </r>
  <r>
    <x v="853"/>
    <s v="S"/>
    <x v="1"/>
    <n v="60000"/>
    <n v="1"/>
    <s v="Graduate Degree"/>
    <s v="Professional"/>
    <s v="Yes"/>
    <n v="0"/>
    <s v="2-5 Miles"/>
    <s v="North America"/>
    <n v="35"/>
    <x v="1"/>
  </r>
  <r>
    <x v="854"/>
    <s v="M"/>
    <x v="0"/>
    <n v="60000"/>
    <n v="0"/>
    <s v="Partial College"/>
    <s v="Professional"/>
    <s v="Yes"/>
    <n v="2"/>
    <s v="5-10 Miles"/>
    <s v="North America"/>
    <n v="32"/>
    <x v="0"/>
  </r>
  <r>
    <x v="855"/>
    <s v="S"/>
    <x v="0"/>
    <n v="30000"/>
    <n v="0"/>
    <s v="Partial College"/>
    <s v="Skilled Manual"/>
    <s v="No"/>
    <n v="1"/>
    <s v="1-2 Miles"/>
    <s v="North America"/>
    <n v="31"/>
    <x v="0"/>
  </r>
  <r>
    <x v="856"/>
    <s v="S"/>
    <x v="1"/>
    <n v="40000"/>
    <n v="0"/>
    <s v="Partial College"/>
    <s v="Skilled Manual"/>
    <s v="Yes"/>
    <n v="1"/>
    <s v="5-10 Miles"/>
    <s v="North America"/>
    <n v="27"/>
    <x v="0"/>
  </r>
  <r>
    <x v="857"/>
    <s v="M"/>
    <x v="0"/>
    <n v="60000"/>
    <n v="1"/>
    <s v="Bachelors"/>
    <s v="Professional"/>
    <s v="Yes"/>
    <n v="1"/>
    <s v="0-1 Miles"/>
    <s v="North America"/>
    <n v="47"/>
    <x v="1"/>
  </r>
  <r>
    <x v="858"/>
    <s v="M"/>
    <x v="1"/>
    <n v="40000"/>
    <n v="0"/>
    <s v="Bachelors"/>
    <s v="Professional"/>
    <s v="No"/>
    <n v="1"/>
    <s v="0-1 Miles"/>
    <s v="North America"/>
    <n v="42"/>
    <x v="0"/>
  </r>
  <r>
    <x v="859"/>
    <s v="M"/>
    <x v="1"/>
    <n v="30000"/>
    <n v="2"/>
    <s v="High School"/>
    <s v="Skilled Manual"/>
    <s v="Yes"/>
    <n v="2"/>
    <s v="1-2 Miles"/>
    <s v="North America"/>
    <n v="49"/>
    <x v="0"/>
  </r>
  <r>
    <x v="860"/>
    <s v="S"/>
    <x v="1"/>
    <n v="30000"/>
    <n v="0"/>
    <s v="Partial College"/>
    <s v="Skilled Manual"/>
    <s v="Yes"/>
    <n v="1"/>
    <s v="5-10 Miles"/>
    <s v="North America"/>
    <n v="32"/>
    <x v="0"/>
  </r>
  <r>
    <x v="861"/>
    <s v="M"/>
    <x v="0"/>
    <n v="20000"/>
    <n v="2"/>
    <s v="High School"/>
    <s v="Manual"/>
    <s v="No"/>
    <n v="2"/>
    <s v="1-2 Miles"/>
    <s v="North America"/>
    <n v="53"/>
    <x v="1"/>
  </r>
  <r>
    <x v="862"/>
    <s v="M"/>
    <x v="1"/>
    <n v="50000"/>
    <n v="0"/>
    <s v="Graduate Degree"/>
    <s v="Skilled Manual"/>
    <s v="Yes"/>
    <n v="0"/>
    <s v="1-2 Miles"/>
    <s v="North America"/>
    <n v="32"/>
    <x v="1"/>
  </r>
  <r>
    <x v="863"/>
    <s v="S"/>
    <x v="1"/>
    <n v="80000"/>
    <n v="0"/>
    <s v="Bachelors"/>
    <s v="Management"/>
    <s v="No"/>
    <n v="1"/>
    <s v="0-1 Miles"/>
    <s v="North America"/>
    <n v="38"/>
    <x v="1"/>
  </r>
  <r>
    <x v="864"/>
    <s v="S"/>
    <x v="1"/>
    <n v="40000"/>
    <n v="0"/>
    <s v="High School"/>
    <s v="Skilled Manual"/>
    <s v="Yes"/>
    <n v="2"/>
    <s v="5-10 Miles"/>
    <s v="North America"/>
    <n v="31"/>
    <x v="0"/>
  </r>
  <r>
    <x v="865"/>
    <s v="S"/>
    <x v="0"/>
    <n v="80000"/>
    <n v="0"/>
    <s v="Bachelors"/>
    <s v="Management"/>
    <s v="No"/>
    <n v="1"/>
    <s v="0-1 Miles"/>
    <s v="North America"/>
    <n v="38"/>
    <x v="1"/>
  </r>
  <r>
    <x v="866"/>
    <s v="M"/>
    <x v="1"/>
    <n v="60000"/>
    <n v="2"/>
    <s v="High School"/>
    <s v="Professional"/>
    <s v="Yes"/>
    <n v="2"/>
    <s v="10+ Miles"/>
    <s v="North America"/>
    <n v="55"/>
    <x v="0"/>
  </r>
  <r>
    <x v="867"/>
    <s v="M"/>
    <x v="1"/>
    <n v="70000"/>
    <n v="3"/>
    <s v="Partial College"/>
    <s v="Professional"/>
    <s v="Yes"/>
    <n v="1"/>
    <s v="5-10 Miles"/>
    <s v="North America"/>
    <n v="49"/>
    <x v="0"/>
  </r>
  <r>
    <x v="868"/>
    <s v="S"/>
    <x v="1"/>
    <n v="30000"/>
    <n v="5"/>
    <s v="Partial High School"/>
    <s v="Skilled Manual"/>
    <s v="Yes"/>
    <n v="3"/>
    <s v="10+ Miles"/>
    <s v="North America"/>
    <n v="60"/>
    <x v="1"/>
  </r>
  <r>
    <x v="869"/>
    <s v="S"/>
    <x v="0"/>
    <n v="110000"/>
    <n v="3"/>
    <s v="Bachelors"/>
    <s v="Management"/>
    <s v="No"/>
    <n v="4"/>
    <s v="1-2 Miles"/>
    <s v="North America"/>
    <n v="42"/>
    <x v="0"/>
  </r>
  <r>
    <x v="870"/>
    <s v="M"/>
    <x v="1"/>
    <n v="60000"/>
    <n v="1"/>
    <s v="Partial College"/>
    <s v="Skilled Manual"/>
    <s v="Yes"/>
    <n v="1"/>
    <s v="0-1 Miles"/>
    <s v="North America"/>
    <n v="46"/>
    <x v="0"/>
  </r>
  <r>
    <x v="871"/>
    <s v="M"/>
    <x v="1"/>
    <n v="60000"/>
    <n v="2"/>
    <s v="High School"/>
    <s v="Professional"/>
    <s v="Yes"/>
    <n v="2"/>
    <s v="10+ Miles"/>
    <s v="North America"/>
    <n v="55"/>
    <x v="0"/>
  </r>
  <r>
    <x v="872"/>
    <s v="S"/>
    <x v="0"/>
    <n v="70000"/>
    <n v="3"/>
    <s v="Graduate Degree"/>
    <s v="Management"/>
    <s v="Yes"/>
    <n v="2"/>
    <s v="5-10 Miles"/>
    <s v="North America"/>
    <n v="53"/>
    <x v="1"/>
  </r>
  <r>
    <x v="873"/>
    <s v="M"/>
    <x v="1"/>
    <n v="50000"/>
    <n v="3"/>
    <s v="Bachelors"/>
    <s v="Skilled Manual"/>
    <s v="Yes"/>
    <n v="2"/>
    <s v="2-5 Miles"/>
    <s v="North America"/>
    <n v="40"/>
    <x v="0"/>
  </r>
  <r>
    <x v="874"/>
    <s v="M"/>
    <x v="0"/>
    <n v="30000"/>
    <n v="1"/>
    <s v="Bachelors"/>
    <s v="Skilled Manual"/>
    <s v="Yes"/>
    <n v="1"/>
    <s v="5-10 Miles"/>
    <s v="North America"/>
    <n v="53"/>
    <x v="1"/>
  </r>
  <r>
    <x v="875"/>
    <s v="S"/>
    <x v="0"/>
    <n v="70000"/>
    <n v="2"/>
    <s v="Bachelors"/>
    <s v="Skilled Manual"/>
    <s v="Yes"/>
    <n v="0"/>
    <s v="2-5 Miles"/>
    <s v="North America"/>
    <n v="38"/>
    <x v="1"/>
  </r>
  <r>
    <x v="876"/>
    <s v="S"/>
    <x v="1"/>
    <n v="30000"/>
    <n v="0"/>
    <s v="Partial High School"/>
    <s v="Clerical"/>
    <s v="No"/>
    <n v="2"/>
    <s v="0-1 Miles"/>
    <s v="North America"/>
    <n v="26"/>
    <x v="0"/>
  </r>
  <r>
    <x v="877"/>
    <s v="M"/>
    <x v="1"/>
    <n v="70000"/>
    <n v="5"/>
    <s v="Bachelors"/>
    <s v="Management"/>
    <s v="Yes"/>
    <n v="2"/>
    <s v="2-5 Miles"/>
    <s v="North America"/>
    <n v="61"/>
    <x v="0"/>
  </r>
  <r>
    <x v="878"/>
    <s v="M"/>
    <x v="1"/>
    <n v="50000"/>
    <n v="2"/>
    <s v="Graduate Degree"/>
    <s v="Management"/>
    <s v="Yes"/>
    <n v="2"/>
    <s v="5-10 Miles"/>
    <s v="North America"/>
    <n v="71"/>
    <x v="0"/>
  </r>
  <r>
    <x v="879"/>
    <s v="M"/>
    <x v="1"/>
    <n v="90000"/>
    <n v="4"/>
    <s v="High School"/>
    <s v="Professional"/>
    <s v="Yes"/>
    <n v="2"/>
    <s v="1-2 Miles"/>
    <s v="North America"/>
    <n v="45"/>
    <x v="0"/>
  </r>
  <r>
    <x v="880"/>
    <s v="M"/>
    <x v="1"/>
    <n v="80000"/>
    <n v="2"/>
    <s v="Graduate Degree"/>
    <s v="Professional"/>
    <s v="Yes"/>
    <n v="0"/>
    <s v="0-1 Miles"/>
    <s v="North America"/>
    <n v="37"/>
    <x v="1"/>
  </r>
  <r>
    <x v="881"/>
    <s v="M"/>
    <x v="0"/>
    <n v="80000"/>
    <n v="4"/>
    <s v="Graduate Degree"/>
    <s v="Management"/>
    <s v="Yes"/>
    <n v="2"/>
    <s v="0-1 Miles"/>
    <s v="North America"/>
    <n v="72"/>
    <x v="1"/>
  </r>
  <r>
    <x v="882"/>
    <s v="M"/>
    <x v="1"/>
    <n v="30000"/>
    <n v="0"/>
    <s v="Graduate Degree"/>
    <s v="Skilled Manual"/>
    <s v="Yes"/>
    <n v="0"/>
    <s v="0-1 Miles"/>
    <s v="North America"/>
    <n v="32"/>
    <x v="0"/>
  </r>
  <r>
    <x v="883"/>
    <s v="M"/>
    <x v="0"/>
    <n v="60000"/>
    <n v="1"/>
    <s v="Bachelors"/>
    <s v="Professional"/>
    <s v="Yes"/>
    <n v="1"/>
    <s v="2-5 Miles"/>
    <s v="North America"/>
    <n v="48"/>
    <x v="1"/>
  </r>
  <r>
    <x v="884"/>
    <s v="M"/>
    <x v="1"/>
    <n v="80000"/>
    <n v="4"/>
    <s v="Graduate Degree"/>
    <s v="Management"/>
    <s v="Yes"/>
    <n v="2"/>
    <s v="5-10 Miles"/>
    <s v="North America"/>
    <n v="68"/>
    <x v="0"/>
  </r>
  <r>
    <x v="885"/>
    <s v="M"/>
    <x v="0"/>
    <n v="20000"/>
    <n v="2"/>
    <s v="Partial High School"/>
    <s v="Clerical"/>
    <s v="Yes"/>
    <n v="2"/>
    <s v="0-1 Miles"/>
    <s v="North America"/>
    <n v="49"/>
    <x v="0"/>
  </r>
  <r>
    <x v="886"/>
    <s v="M"/>
    <x v="1"/>
    <n v="70000"/>
    <n v="3"/>
    <s v="Graduate Degree"/>
    <s v="Professional"/>
    <s v="Yes"/>
    <n v="0"/>
    <s v="2-5 Miles"/>
    <s v="North America"/>
    <n v="34"/>
    <x v="0"/>
  </r>
  <r>
    <x v="887"/>
    <s v="M"/>
    <x v="1"/>
    <n v="50000"/>
    <n v="0"/>
    <s v="Graduate Degree"/>
    <s v="Skilled Manual"/>
    <s v="Yes"/>
    <n v="0"/>
    <s v="0-1 Miles"/>
    <s v="North America"/>
    <n v="32"/>
    <x v="0"/>
  </r>
  <r>
    <x v="888"/>
    <s v="S"/>
    <x v="0"/>
    <n v="60000"/>
    <n v="4"/>
    <s v="Bachelors"/>
    <s v="Skilled Manual"/>
    <s v="No"/>
    <n v="2"/>
    <s v="0-1 Miles"/>
    <s v="North America"/>
    <n v="42"/>
    <x v="0"/>
  </r>
  <r>
    <x v="889"/>
    <s v="M"/>
    <x v="0"/>
    <n v="70000"/>
    <n v="1"/>
    <s v="Graduate Degree"/>
    <s v="Skilled Manual"/>
    <s v="Yes"/>
    <n v="0"/>
    <s v="0-1 Miles"/>
    <s v="North America"/>
    <n v="35"/>
    <x v="1"/>
  </r>
  <r>
    <x v="890"/>
    <s v="M"/>
    <x v="0"/>
    <n v="40000"/>
    <n v="2"/>
    <s v="Partial College"/>
    <s v="Clerical"/>
    <s v="Yes"/>
    <n v="1"/>
    <s v="0-1 Miles"/>
    <s v="North America"/>
    <n v="48"/>
    <x v="0"/>
  </r>
  <r>
    <x v="891"/>
    <s v="S"/>
    <x v="1"/>
    <n v="100000"/>
    <n v="1"/>
    <s v="Graduate Degree"/>
    <s v="Management"/>
    <s v="Yes"/>
    <n v="3"/>
    <s v="2-5 Miles"/>
    <s v="North America"/>
    <n v="73"/>
    <x v="1"/>
  </r>
  <r>
    <x v="892"/>
    <s v="S"/>
    <x v="0"/>
    <n v="70000"/>
    <n v="4"/>
    <s v="Bachelors"/>
    <s v="Skilled Manual"/>
    <s v="Yes"/>
    <n v="2"/>
    <s v="2-5 Miles"/>
    <s v="North America"/>
    <n v="43"/>
    <x v="1"/>
  </r>
  <r>
    <x v="893"/>
    <s v="M"/>
    <x v="1"/>
    <n v="60000"/>
    <n v="1"/>
    <s v="Graduate Degree"/>
    <s v="Professional"/>
    <s v="Yes"/>
    <n v="0"/>
    <s v="0-1 Miles"/>
    <s v="North America"/>
    <n v="35"/>
    <x v="0"/>
  </r>
  <r>
    <x v="894"/>
    <s v="M"/>
    <x v="1"/>
    <n v="70000"/>
    <n v="3"/>
    <s v="Graduate Degree"/>
    <s v="Professional"/>
    <s v="Yes"/>
    <n v="0"/>
    <s v="0-1 Miles"/>
    <s v="North America"/>
    <n v="35"/>
    <x v="1"/>
  </r>
  <r>
    <x v="895"/>
    <s v="M"/>
    <x v="0"/>
    <n v="50000"/>
    <n v="4"/>
    <s v="Bachelors"/>
    <s v="Management"/>
    <s v="Yes"/>
    <n v="2"/>
    <s v="1-2 Miles"/>
    <s v="North America"/>
    <n v="64"/>
    <x v="1"/>
  </r>
  <r>
    <x v="896"/>
    <s v="M"/>
    <x v="0"/>
    <n v="50000"/>
    <n v="1"/>
    <s v="Bachelors"/>
    <s v="Skilled Manual"/>
    <s v="Yes"/>
    <n v="0"/>
    <s v="0-1 Miles"/>
    <s v="North America"/>
    <n v="34"/>
    <x v="1"/>
  </r>
  <r>
    <x v="897"/>
    <s v="M"/>
    <x v="1"/>
    <n v="30000"/>
    <n v="0"/>
    <s v="Partial High School"/>
    <s v="Clerical"/>
    <s v="No"/>
    <n v="2"/>
    <s v="0-1 Miles"/>
    <s v="North America"/>
    <n v="28"/>
    <x v="0"/>
  </r>
  <r>
    <x v="898"/>
    <s v="S"/>
    <x v="1"/>
    <n v="70000"/>
    <n v="5"/>
    <s v="Bachelors"/>
    <s v="Management"/>
    <s v="Yes"/>
    <n v="3"/>
    <s v="10+ Miles"/>
    <s v="North America"/>
    <n v="60"/>
    <x v="1"/>
  </r>
  <r>
    <x v="899"/>
    <s v="M"/>
    <x v="0"/>
    <n v="70000"/>
    <n v="5"/>
    <s v="Graduate Degree"/>
    <s v="Professional"/>
    <s v="Yes"/>
    <n v="3"/>
    <s v="10+ Miles"/>
    <s v="North America"/>
    <n v="46"/>
    <x v="0"/>
  </r>
  <r>
    <x v="900"/>
    <s v="M"/>
    <x v="1"/>
    <n v="40000"/>
    <n v="4"/>
    <s v="High School"/>
    <s v="Skilled Manual"/>
    <s v="Yes"/>
    <n v="2"/>
    <s v="0-1 Miles"/>
    <s v="North America"/>
    <n v="44"/>
    <x v="1"/>
  </r>
  <r>
    <x v="901"/>
    <s v="S"/>
    <x v="0"/>
    <n v="60000"/>
    <n v="4"/>
    <s v="Bachelors"/>
    <s v="Skilled Manual"/>
    <s v="Yes"/>
    <n v="2"/>
    <s v="2-5 Miles"/>
    <s v="North America"/>
    <n v="42"/>
    <x v="1"/>
  </r>
  <r>
    <x v="902"/>
    <s v="S"/>
    <x v="1"/>
    <n v="80000"/>
    <n v="3"/>
    <s v="Bachelors"/>
    <s v="Skilled Manual"/>
    <s v="Yes"/>
    <n v="0"/>
    <s v="2-5 Miles"/>
    <s v="North America"/>
    <n v="40"/>
    <x v="0"/>
  </r>
  <r>
    <x v="903"/>
    <s v="S"/>
    <x v="1"/>
    <n v="90000"/>
    <n v="4"/>
    <s v="Graduate Degree"/>
    <s v="Management"/>
    <s v="Yes"/>
    <n v="1"/>
    <s v="5-10 Miles"/>
    <s v="North America"/>
    <n v="73"/>
    <x v="0"/>
  </r>
  <r>
    <x v="904"/>
    <s v="S"/>
    <x v="0"/>
    <n v="60000"/>
    <n v="2"/>
    <s v="Bachelors"/>
    <s v="Skilled Manual"/>
    <s v="No"/>
    <n v="0"/>
    <s v="0-1 Miles"/>
    <s v="North America"/>
    <n v="36"/>
    <x v="1"/>
  </r>
  <r>
    <x v="905"/>
    <s v="S"/>
    <x v="1"/>
    <n v="90000"/>
    <n v="4"/>
    <s v="Bachelors"/>
    <s v="Management"/>
    <s v="Yes"/>
    <n v="1"/>
    <s v="1-2 Miles"/>
    <s v="North America"/>
    <n v="38"/>
    <x v="1"/>
  </r>
  <r>
    <x v="906"/>
    <s v="M"/>
    <x v="1"/>
    <n v="60000"/>
    <n v="1"/>
    <s v="Graduate Degree"/>
    <s v="Professional"/>
    <s v="Yes"/>
    <n v="0"/>
    <s v="2-5 Miles"/>
    <s v="North America"/>
    <n v="34"/>
    <x v="1"/>
  </r>
  <r>
    <x v="907"/>
    <s v="M"/>
    <x v="1"/>
    <n v="50000"/>
    <n v="4"/>
    <s v="Bachelors"/>
    <s v="Management"/>
    <s v="Yes"/>
    <n v="2"/>
    <s v="10+ Miles"/>
    <s v="North America"/>
    <n v="63"/>
    <x v="0"/>
  </r>
  <r>
    <x v="908"/>
    <s v="S"/>
    <x v="1"/>
    <n v="50000"/>
    <n v="3"/>
    <s v="Bachelors"/>
    <s v="Skilled Manual"/>
    <s v="Yes"/>
    <n v="2"/>
    <s v="2-5 Miles"/>
    <s v="North America"/>
    <n v="41"/>
    <x v="1"/>
  </r>
  <r>
    <x v="909"/>
    <s v="M"/>
    <x v="1"/>
    <n v="60000"/>
    <n v="0"/>
    <s v="Graduate Degree"/>
    <s v="Skilled Manual"/>
    <s v="Yes"/>
    <n v="0"/>
    <s v="1-2 Miles"/>
    <s v="North America"/>
    <n v="39"/>
    <x v="1"/>
  </r>
  <r>
    <x v="910"/>
    <s v="M"/>
    <x v="1"/>
    <n v="40000"/>
    <n v="4"/>
    <s v="High School"/>
    <s v="Skilled Manual"/>
    <s v="Yes"/>
    <n v="2"/>
    <s v="2-5 Miles"/>
    <s v="North America"/>
    <n v="46"/>
    <x v="0"/>
  </r>
  <r>
    <x v="911"/>
    <s v="M"/>
    <x v="0"/>
    <n v="80000"/>
    <n v="5"/>
    <s v="Bachelors"/>
    <s v="Management"/>
    <s v="Yes"/>
    <n v="2"/>
    <s v="5-10 Miles"/>
    <s v="North America"/>
    <n v="64"/>
    <x v="0"/>
  </r>
  <r>
    <x v="912"/>
    <s v="M"/>
    <x v="0"/>
    <n v="40000"/>
    <n v="3"/>
    <s v="Partial College"/>
    <s v="Clerical"/>
    <s v="Yes"/>
    <n v="1"/>
    <s v="1-2 Miles"/>
    <s v="North America"/>
    <n v="32"/>
    <x v="0"/>
  </r>
  <r>
    <x v="913"/>
    <s v="S"/>
    <x v="1"/>
    <n v="60000"/>
    <n v="2"/>
    <s v="Bachelors"/>
    <s v="Skilled Manual"/>
    <s v="Yes"/>
    <n v="0"/>
    <s v="2-5 Miles"/>
    <s v="North America"/>
    <n v="36"/>
    <x v="1"/>
  </r>
  <r>
    <x v="914"/>
    <s v="S"/>
    <x v="1"/>
    <n v="80000"/>
    <n v="5"/>
    <s v="Graduate Degree"/>
    <s v="Skilled Manual"/>
    <s v="No"/>
    <n v="0"/>
    <s v="0-1 Miles"/>
    <s v="North America"/>
    <n v="47"/>
    <x v="0"/>
  </r>
  <r>
    <x v="915"/>
    <s v="M"/>
    <x v="1"/>
    <n v="60000"/>
    <n v="3"/>
    <s v="Graduate Degree"/>
    <s v="Management"/>
    <s v="Yes"/>
    <n v="2"/>
    <s v="10+ Miles"/>
    <s v="North America"/>
    <n v="64"/>
    <x v="0"/>
  </r>
  <r>
    <x v="916"/>
    <s v="S"/>
    <x v="1"/>
    <n v="70000"/>
    <n v="3"/>
    <s v="Graduate Degree"/>
    <s v="Professional"/>
    <s v="No"/>
    <n v="0"/>
    <s v="0-1 Miles"/>
    <s v="North America"/>
    <n v="35"/>
    <x v="1"/>
  </r>
  <r>
    <x v="917"/>
    <s v="S"/>
    <x v="1"/>
    <n v="110000"/>
    <n v="3"/>
    <s v="Bachelors"/>
    <s v="Management"/>
    <s v="Yes"/>
    <n v="4"/>
    <s v="2-5 Miles"/>
    <s v="North America"/>
    <n v="40"/>
    <x v="1"/>
  </r>
  <r>
    <x v="918"/>
    <s v="M"/>
    <x v="0"/>
    <n v="70000"/>
    <n v="0"/>
    <s v="Partial College"/>
    <s v="Skilled Manual"/>
    <s v="Yes"/>
    <n v="2"/>
    <s v="5-10 Miles"/>
    <s v="North America"/>
    <n v="34"/>
    <x v="1"/>
  </r>
  <r>
    <x v="919"/>
    <s v="M"/>
    <x v="0"/>
    <n v="40000"/>
    <n v="4"/>
    <s v="High School"/>
    <s v="Professional"/>
    <s v="Yes"/>
    <n v="2"/>
    <s v="10+ Miles"/>
    <s v="North America"/>
    <n v="61"/>
    <x v="0"/>
  </r>
  <r>
    <x v="920"/>
    <s v="M"/>
    <x v="1"/>
    <n v="30000"/>
    <n v="2"/>
    <s v="High School"/>
    <s v="Skilled Manual"/>
    <s v="Yes"/>
    <n v="2"/>
    <s v="1-2 Miles"/>
    <s v="North America"/>
    <n v="51"/>
    <x v="0"/>
  </r>
  <r>
    <x v="921"/>
    <s v="S"/>
    <x v="0"/>
    <n v="70000"/>
    <n v="3"/>
    <s v="Partial College"/>
    <s v="Professional"/>
    <s v="Yes"/>
    <n v="1"/>
    <s v="5-10 Miles"/>
    <s v="North America"/>
    <n v="49"/>
    <x v="1"/>
  </r>
  <r>
    <x v="922"/>
    <s v="M"/>
    <x v="0"/>
    <n v="40000"/>
    <n v="3"/>
    <s v="Partial College"/>
    <s v="Professional"/>
    <s v="No"/>
    <n v="2"/>
    <s v="1-2 Miles"/>
    <s v="North America"/>
    <n v="54"/>
    <x v="1"/>
  </r>
  <r>
    <x v="923"/>
    <s v="S"/>
    <x v="1"/>
    <n v="70000"/>
    <n v="3"/>
    <s v="Graduate Degree"/>
    <s v="Management"/>
    <s v="No"/>
    <n v="2"/>
    <s v="1-2 Miles"/>
    <s v="North America"/>
    <n v="53"/>
    <x v="1"/>
  </r>
  <r>
    <x v="924"/>
    <s v="S"/>
    <x v="1"/>
    <n v="90000"/>
    <n v="2"/>
    <s v="Partial College"/>
    <s v="Professional"/>
    <s v="Yes"/>
    <n v="1"/>
    <s v="2-5 Miles"/>
    <s v="North America"/>
    <n v="48"/>
    <x v="1"/>
  </r>
  <r>
    <x v="925"/>
    <s v="S"/>
    <x v="0"/>
    <n v="50000"/>
    <n v="0"/>
    <s v="Graduate Degree"/>
    <s v="Skilled Manual"/>
    <s v="Yes"/>
    <n v="0"/>
    <s v="1-2 Miles"/>
    <s v="North America"/>
    <n v="33"/>
    <x v="1"/>
  </r>
  <r>
    <x v="926"/>
    <s v="S"/>
    <x v="0"/>
    <n v="40000"/>
    <n v="2"/>
    <s v="High School"/>
    <s v="Professional"/>
    <s v="Yes"/>
    <n v="2"/>
    <s v="10+ Miles"/>
    <s v="North America"/>
    <n v="57"/>
    <x v="0"/>
  </r>
  <r>
    <x v="927"/>
    <s v="M"/>
    <x v="0"/>
    <n v="70000"/>
    <n v="0"/>
    <s v="Graduate Degree"/>
    <s v="Professional"/>
    <s v="Yes"/>
    <n v="0"/>
    <s v="2-5 Miles"/>
    <s v="North America"/>
    <n v="39"/>
    <x v="0"/>
  </r>
  <r>
    <x v="928"/>
    <s v="M"/>
    <x v="1"/>
    <n v="60000"/>
    <n v="2"/>
    <s v="High School"/>
    <s v="Professional"/>
    <s v="Yes"/>
    <n v="2"/>
    <s v="5-10 Miles"/>
    <s v="North America"/>
    <n v="48"/>
    <x v="0"/>
  </r>
  <r>
    <x v="929"/>
    <s v="M"/>
    <x v="1"/>
    <n v="60000"/>
    <n v="2"/>
    <s v="High School"/>
    <s v="Professional"/>
    <s v="Yes"/>
    <n v="2"/>
    <s v="5-10 Miles"/>
    <s v="North America"/>
    <n v="50"/>
    <x v="0"/>
  </r>
  <r>
    <x v="930"/>
    <s v="M"/>
    <x v="1"/>
    <n v="70000"/>
    <n v="5"/>
    <s v="Graduate Degree"/>
    <s v="Professional"/>
    <s v="No"/>
    <n v="3"/>
    <s v="10+ Miles"/>
    <s v="North America"/>
    <n v="47"/>
    <x v="0"/>
  </r>
  <r>
    <x v="931"/>
    <s v="M"/>
    <x v="0"/>
    <n v="40000"/>
    <n v="1"/>
    <s v="Partial College"/>
    <s v="Clerical"/>
    <s v="Yes"/>
    <n v="1"/>
    <s v="1-2 Miles"/>
    <s v="North America"/>
    <n v="49"/>
    <x v="1"/>
  </r>
  <r>
    <x v="932"/>
    <s v="S"/>
    <x v="0"/>
    <n v="40000"/>
    <n v="0"/>
    <s v="High School"/>
    <s v="Skilled Manual"/>
    <s v="No"/>
    <n v="2"/>
    <s v="0-1 Miles"/>
    <s v="North America"/>
    <n v="27"/>
    <x v="1"/>
  </r>
  <r>
    <x v="933"/>
    <s v="S"/>
    <x v="1"/>
    <n v="60000"/>
    <n v="0"/>
    <s v="Partial College"/>
    <s v="Skilled Manual"/>
    <s v="Yes"/>
    <n v="0"/>
    <s v="5-10 Miles"/>
    <s v="North America"/>
    <n v="29"/>
    <x v="0"/>
  </r>
  <r>
    <x v="934"/>
    <s v="M"/>
    <x v="1"/>
    <n v="60000"/>
    <n v="2"/>
    <s v="Bachelors"/>
    <s v="Management"/>
    <s v="Yes"/>
    <n v="0"/>
    <s v="2-5 Miles"/>
    <s v="North America"/>
    <n v="59"/>
    <x v="0"/>
  </r>
  <r>
    <x v="935"/>
    <s v="M"/>
    <x v="0"/>
    <n v="60000"/>
    <n v="1"/>
    <s v="Partial College"/>
    <s v="Skilled Manual"/>
    <s v="Yes"/>
    <n v="1"/>
    <s v="0-1 Miles"/>
    <s v="North America"/>
    <n v="45"/>
    <x v="1"/>
  </r>
  <r>
    <x v="936"/>
    <s v="M"/>
    <x v="0"/>
    <n v="60000"/>
    <n v="4"/>
    <s v="Bachelors"/>
    <s v="Management"/>
    <s v="Yes"/>
    <n v="2"/>
    <s v="2-5 Miles"/>
    <s v="North America"/>
    <n v="60"/>
    <x v="0"/>
  </r>
  <r>
    <x v="937"/>
    <s v="M"/>
    <x v="1"/>
    <n v="70000"/>
    <n v="4"/>
    <s v="Graduate Degree"/>
    <s v="Professional"/>
    <s v="Yes"/>
    <n v="0"/>
    <s v="0-1 Miles"/>
    <s v="North America"/>
    <n v="36"/>
    <x v="1"/>
  </r>
  <r>
    <x v="938"/>
    <s v="M"/>
    <x v="0"/>
    <n v="40000"/>
    <n v="0"/>
    <s v="High School"/>
    <s v="Skilled Manual"/>
    <s v="Yes"/>
    <n v="2"/>
    <s v="5-10 Miles"/>
    <s v="North America"/>
    <n v="27"/>
    <x v="0"/>
  </r>
  <r>
    <x v="939"/>
    <s v="S"/>
    <x v="1"/>
    <n v="80000"/>
    <n v="2"/>
    <s v="Partial High School"/>
    <s v="Skilled Manual"/>
    <s v="No"/>
    <n v="2"/>
    <s v="1-2 Miles"/>
    <s v="North America"/>
    <n v="50"/>
    <x v="0"/>
  </r>
  <r>
    <x v="940"/>
    <s v="S"/>
    <x v="0"/>
    <n v="60000"/>
    <n v="1"/>
    <s v="Graduate Degree"/>
    <s v="Skilled Manual"/>
    <s v="Yes"/>
    <n v="0"/>
    <s v="1-2 Miles"/>
    <s v="North America"/>
    <n v="35"/>
    <x v="0"/>
  </r>
  <r>
    <x v="941"/>
    <s v="M"/>
    <x v="0"/>
    <n v="60000"/>
    <n v="1"/>
    <s v="Graduate Degree"/>
    <s v="Skilled Manual"/>
    <s v="Yes"/>
    <n v="0"/>
    <s v="2-5 Miles"/>
    <s v="North America"/>
    <n v="34"/>
    <x v="1"/>
  </r>
  <r>
    <x v="942"/>
    <s v="M"/>
    <x v="0"/>
    <n v="40000"/>
    <n v="3"/>
    <s v="Partial College"/>
    <s v="Professional"/>
    <s v="Yes"/>
    <n v="2"/>
    <s v="5-10 Miles"/>
    <s v="North America"/>
    <n v="54"/>
    <x v="0"/>
  </r>
  <r>
    <x v="943"/>
    <s v="M"/>
    <x v="0"/>
    <n v="60000"/>
    <n v="4"/>
    <s v="Bachelors"/>
    <s v="Skilled Manual"/>
    <s v="No"/>
    <n v="2"/>
    <s v="0-1 Miles"/>
    <s v="North America"/>
    <n v="42"/>
    <x v="0"/>
  </r>
  <r>
    <x v="944"/>
    <s v="M"/>
    <x v="0"/>
    <n v="50000"/>
    <n v="1"/>
    <s v="Bachelors"/>
    <s v="Skilled Manual"/>
    <s v="Yes"/>
    <n v="0"/>
    <s v="2-5 Miles"/>
    <s v="North America"/>
    <n v="34"/>
    <x v="1"/>
  </r>
  <r>
    <x v="945"/>
    <s v="S"/>
    <x v="1"/>
    <n v="50000"/>
    <n v="2"/>
    <s v="Bachelors"/>
    <s v="Skilled Manual"/>
    <s v="No"/>
    <n v="1"/>
    <s v="0-1 Miles"/>
    <s v="North America"/>
    <n v="38"/>
    <x v="1"/>
  </r>
  <r>
    <x v="946"/>
    <s v="M"/>
    <x v="0"/>
    <n v="90000"/>
    <n v="5"/>
    <s v="Bachelors"/>
    <s v="Management"/>
    <s v="Yes"/>
    <n v="2"/>
    <s v="1-2 Miles"/>
    <s v="North America"/>
    <n v="63"/>
    <x v="1"/>
  </r>
  <r>
    <x v="947"/>
    <s v="S"/>
    <x v="0"/>
    <n v="90000"/>
    <n v="4"/>
    <s v="High School"/>
    <s v="Professional"/>
    <s v="No"/>
    <n v="3"/>
    <s v="1-2 Miles"/>
    <s v="North America"/>
    <n v="45"/>
    <x v="1"/>
  </r>
  <r>
    <x v="948"/>
    <s v="S"/>
    <x v="0"/>
    <n v="60000"/>
    <n v="0"/>
    <s v="Graduate Degree"/>
    <s v="Skilled Manual"/>
    <s v="No"/>
    <n v="0"/>
    <s v="0-1 Miles"/>
    <s v="North America"/>
    <n v="40"/>
    <x v="0"/>
  </r>
  <r>
    <x v="949"/>
    <s v="M"/>
    <x v="1"/>
    <n v="70000"/>
    <n v="2"/>
    <s v="Partial High School"/>
    <s v="Skilled Manual"/>
    <s v="Yes"/>
    <n v="2"/>
    <s v="10+ Miles"/>
    <s v="North America"/>
    <n v="53"/>
    <x v="0"/>
  </r>
  <r>
    <x v="950"/>
    <s v="S"/>
    <x v="0"/>
    <n v="70000"/>
    <n v="1"/>
    <s v="Graduate Degree"/>
    <s v="Professional"/>
    <s v="Yes"/>
    <n v="0"/>
    <s v="2-5 Miles"/>
    <s v="North America"/>
    <n v="34"/>
    <x v="0"/>
  </r>
  <r>
    <x v="951"/>
    <s v="M"/>
    <x v="1"/>
    <n v="70000"/>
    <n v="0"/>
    <s v="Bachelors"/>
    <s v="Professional"/>
    <s v="No"/>
    <n v="1"/>
    <s v="0-1 Miles"/>
    <s v="North America"/>
    <n v="38"/>
    <x v="0"/>
  </r>
  <r>
    <x v="952"/>
    <s v="M"/>
    <x v="0"/>
    <n v="70000"/>
    <n v="4"/>
    <s v="Bachelors"/>
    <s v="Management"/>
    <s v="No"/>
    <n v="1"/>
    <s v="1-2 Miles"/>
    <s v="North America"/>
    <n v="59"/>
    <x v="0"/>
  </r>
  <r>
    <x v="953"/>
    <s v="S"/>
    <x v="0"/>
    <n v="40000"/>
    <n v="3"/>
    <s v="Partial College"/>
    <s v="Clerical"/>
    <s v="Yes"/>
    <n v="1"/>
    <s v="1-2 Miles"/>
    <s v="North America"/>
    <n v="30"/>
    <x v="1"/>
  </r>
  <r>
    <x v="954"/>
    <s v="M"/>
    <x v="1"/>
    <n v="60000"/>
    <n v="1"/>
    <s v="Bachelors"/>
    <s v="Professional"/>
    <s v="Yes"/>
    <n v="1"/>
    <s v="0-1 Miles"/>
    <s v="North America"/>
    <n v="48"/>
    <x v="1"/>
  </r>
  <r>
    <x v="955"/>
    <s v="M"/>
    <x v="0"/>
    <n v="40000"/>
    <n v="4"/>
    <s v="High School"/>
    <s v="Skilled Manual"/>
    <s v="Yes"/>
    <n v="2"/>
    <s v="2-5 Miles"/>
    <s v="North America"/>
    <n v="43"/>
    <x v="0"/>
  </r>
  <r>
    <x v="956"/>
    <s v="M"/>
    <x v="0"/>
    <n v="70000"/>
    <n v="4"/>
    <s v="Graduate Degree"/>
    <s v="Professional"/>
    <s v="Yes"/>
    <n v="0"/>
    <s v="2-5 Miles"/>
    <s v="North America"/>
    <n v="35"/>
    <x v="1"/>
  </r>
  <r>
    <x v="957"/>
    <s v="M"/>
    <x v="0"/>
    <n v="60000"/>
    <n v="0"/>
    <s v="Partial College"/>
    <s v="Professional"/>
    <s v="Yes"/>
    <n v="2"/>
    <s v="5-10 Miles"/>
    <s v="North America"/>
    <n v="30"/>
    <x v="0"/>
  </r>
  <r>
    <x v="958"/>
    <s v="M"/>
    <x v="1"/>
    <n v="90000"/>
    <n v="5"/>
    <s v="Graduate Degree"/>
    <s v="Professional"/>
    <s v="Yes"/>
    <n v="0"/>
    <s v="0-1 Miles"/>
    <s v="North America"/>
    <n v="47"/>
    <x v="1"/>
  </r>
  <r>
    <x v="959"/>
    <s v="M"/>
    <x v="1"/>
    <n v="60000"/>
    <n v="1"/>
    <s v="Partial College"/>
    <s v="Skilled Manual"/>
    <s v="Yes"/>
    <n v="1"/>
    <s v="2-5 Miles"/>
    <s v="North America"/>
    <n v="45"/>
    <x v="1"/>
  </r>
  <r>
    <x v="960"/>
    <s v="S"/>
    <x v="1"/>
    <n v="100000"/>
    <n v="0"/>
    <s v="Partial College"/>
    <s v="Professional"/>
    <s v="No"/>
    <n v="4"/>
    <s v="1-2 Miles"/>
    <s v="North America"/>
    <n v="45"/>
    <x v="0"/>
  </r>
  <r>
    <x v="961"/>
    <s v="M"/>
    <x v="0"/>
    <n v="120000"/>
    <n v="2"/>
    <s v="Bachelors"/>
    <s v="Management"/>
    <s v="Yes"/>
    <n v="3"/>
    <s v="5-10 Miles"/>
    <s v="North America"/>
    <n v="62"/>
    <x v="0"/>
  </r>
  <r>
    <x v="962"/>
    <s v="M"/>
    <x v="1"/>
    <n v="60000"/>
    <n v="2"/>
    <s v="Partial College"/>
    <s v="Professional"/>
    <s v="Yes"/>
    <n v="2"/>
    <s v="10+ Miles"/>
    <s v="North America"/>
    <n v="55"/>
    <x v="0"/>
  </r>
  <r>
    <x v="963"/>
    <s v="M"/>
    <x v="0"/>
    <n v="90000"/>
    <n v="5"/>
    <s v="Bachelors"/>
    <s v="Management"/>
    <s v="Yes"/>
    <n v="2"/>
    <s v="1-2 Miles"/>
    <s v="North America"/>
    <n v="66"/>
    <x v="1"/>
  </r>
  <r>
    <x v="964"/>
    <s v="S"/>
    <x v="1"/>
    <n v="70000"/>
    <n v="4"/>
    <s v="Partial College"/>
    <s v="Professional"/>
    <s v="Yes"/>
    <n v="1"/>
    <s v="10+ Miles"/>
    <s v="North America"/>
    <n v="56"/>
    <x v="0"/>
  </r>
  <r>
    <x v="965"/>
    <s v="S"/>
    <x v="0"/>
    <n v="50000"/>
    <n v="3"/>
    <s v="Bachelors"/>
    <s v="Skilled Manual"/>
    <s v="No"/>
    <n v="1"/>
    <s v="0-1 Miles"/>
    <s v="North America"/>
    <n v="40"/>
    <x v="0"/>
  </r>
  <r>
    <x v="966"/>
    <s v="M"/>
    <x v="0"/>
    <n v="50000"/>
    <n v="0"/>
    <s v="Graduate Degree"/>
    <s v="Skilled Manual"/>
    <s v="Yes"/>
    <n v="0"/>
    <s v="1-2 Miles"/>
    <s v="North America"/>
    <n v="33"/>
    <x v="1"/>
  </r>
  <r>
    <x v="967"/>
    <s v="M"/>
    <x v="1"/>
    <n v="80000"/>
    <n v="3"/>
    <s v="Bachelors"/>
    <s v="Management"/>
    <s v="Yes"/>
    <n v="1"/>
    <s v="1-2 Miles"/>
    <s v="North America"/>
    <n v="56"/>
    <x v="0"/>
  </r>
  <r>
    <x v="968"/>
    <s v="S"/>
    <x v="1"/>
    <n v="30000"/>
    <n v="0"/>
    <s v="Partial High School"/>
    <s v="Clerical"/>
    <s v="No"/>
    <n v="2"/>
    <s v="5-10 Miles"/>
    <s v="North America"/>
    <n v="27"/>
    <x v="0"/>
  </r>
  <r>
    <x v="969"/>
    <s v="M"/>
    <x v="1"/>
    <n v="60000"/>
    <n v="0"/>
    <s v="Graduate Degree"/>
    <s v="Professional"/>
    <s v="No"/>
    <n v="0"/>
    <s v="0-1 Miles"/>
    <s v="North America"/>
    <n v="39"/>
    <x v="0"/>
  </r>
  <r>
    <x v="970"/>
    <s v="M"/>
    <x v="0"/>
    <n v="60000"/>
    <n v="0"/>
    <s v="Partial College"/>
    <s v="Skilled Manual"/>
    <s v="Yes"/>
    <n v="2"/>
    <s v="5-10 Miles"/>
    <s v="North America"/>
    <n v="31"/>
    <x v="0"/>
  </r>
  <r>
    <x v="971"/>
    <s v="S"/>
    <x v="0"/>
    <n v="60000"/>
    <n v="2"/>
    <s v="Partial High School"/>
    <s v="Skilled Manual"/>
    <s v="No"/>
    <n v="2"/>
    <s v="1-2 Miles"/>
    <s v="North America"/>
    <n v="51"/>
    <x v="0"/>
  </r>
  <r>
    <x v="972"/>
    <s v="M"/>
    <x v="0"/>
    <n v="30000"/>
    <n v="1"/>
    <s v="High School"/>
    <s v="Clerical"/>
    <s v="Yes"/>
    <n v="1"/>
    <s v="5-10 Miles"/>
    <s v="North America"/>
    <n v="52"/>
    <x v="0"/>
  </r>
  <r>
    <x v="973"/>
    <s v="M"/>
    <x v="1"/>
    <n v="60000"/>
    <n v="1"/>
    <s v="Partial College"/>
    <s v="Skilled Manual"/>
    <s v="No"/>
    <n v="1"/>
    <s v="0-1 Miles"/>
    <s v="North America"/>
    <n v="47"/>
    <x v="0"/>
  </r>
  <r>
    <x v="974"/>
    <s v="M"/>
    <x v="1"/>
    <n v="70000"/>
    <n v="3"/>
    <s v="Graduate Degree"/>
    <s v="Management"/>
    <s v="Yes"/>
    <n v="2"/>
    <s v="5-10 Miles"/>
    <s v="North America"/>
    <n v="53"/>
    <x v="1"/>
  </r>
  <r>
    <x v="975"/>
    <s v="M"/>
    <x v="1"/>
    <n v="70000"/>
    <n v="3"/>
    <s v="Graduate Degree"/>
    <s v="Professional"/>
    <s v="Yes"/>
    <n v="0"/>
    <s v="0-1 Miles"/>
    <s v="North America"/>
    <n v="35"/>
    <x v="1"/>
  </r>
  <r>
    <x v="976"/>
    <s v="M"/>
    <x v="0"/>
    <n v="60000"/>
    <n v="3"/>
    <s v="Bachelors"/>
    <s v="Management"/>
    <s v="Yes"/>
    <n v="2"/>
    <s v="10+ Miles"/>
    <s v="North America"/>
    <n v="66"/>
    <x v="0"/>
  </r>
  <r>
    <x v="977"/>
    <s v="S"/>
    <x v="0"/>
    <n v="80000"/>
    <n v="4"/>
    <s v="Graduate Degree"/>
    <s v="Management"/>
    <s v="Yes"/>
    <n v="2"/>
    <s v="5-10 Miles"/>
    <s v="North America"/>
    <n v="65"/>
    <x v="0"/>
  </r>
  <r>
    <x v="978"/>
    <s v="M"/>
    <x v="1"/>
    <n v="80000"/>
    <n v="5"/>
    <s v="Partial College"/>
    <s v="Professional"/>
    <s v="Yes"/>
    <n v="3"/>
    <s v="5-10 Miles"/>
    <s v="North America"/>
    <n v="45"/>
    <x v="0"/>
  </r>
  <r>
    <x v="979"/>
    <s v="S"/>
    <x v="1"/>
    <n v="40000"/>
    <n v="0"/>
    <s v="High School"/>
    <s v="Skilled Manual"/>
    <s v="Yes"/>
    <n v="1"/>
    <s v="5-10 Miles"/>
    <s v="North America"/>
    <n v="31"/>
    <x v="0"/>
  </r>
  <r>
    <x v="980"/>
    <s v="S"/>
    <x v="0"/>
    <n v="80000"/>
    <n v="3"/>
    <s v="Bachelors"/>
    <s v="Skilled Manual"/>
    <s v="Yes"/>
    <n v="3"/>
    <s v="10+ Miles"/>
    <s v="North America"/>
    <n v="40"/>
    <x v="1"/>
  </r>
  <r>
    <x v="981"/>
    <s v="M"/>
    <x v="1"/>
    <n v="110000"/>
    <n v="5"/>
    <s v="Partial College"/>
    <s v="Professional"/>
    <s v="Yes"/>
    <n v="4"/>
    <s v="2-5 Miles"/>
    <s v="North America"/>
    <n v="46"/>
    <x v="0"/>
  </r>
  <r>
    <x v="982"/>
    <s v="S"/>
    <x v="1"/>
    <n v="40000"/>
    <n v="2"/>
    <s v="Partial College"/>
    <s v="Clerical"/>
    <s v="No"/>
    <n v="1"/>
    <s v="1-2 Miles"/>
    <s v="North America"/>
    <n v="47"/>
    <x v="1"/>
  </r>
  <r>
    <x v="983"/>
    <s v="M"/>
    <x v="1"/>
    <n v="130000"/>
    <n v="2"/>
    <s v="Graduate Degree"/>
    <s v="Management"/>
    <s v="Yes"/>
    <n v="2"/>
    <s v="0-1 Miles"/>
    <s v="North America"/>
    <n v="41"/>
    <x v="0"/>
  </r>
  <r>
    <x v="984"/>
    <s v="M"/>
    <x v="1"/>
    <n v="60000"/>
    <n v="2"/>
    <s v="High School"/>
    <s v="Professional"/>
    <s v="No"/>
    <n v="2"/>
    <s v="1-2 Miles"/>
    <s v="North America"/>
    <n v="48"/>
    <x v="1"/>
  </r>
  <r>
    <x v="985"/>
    <s v="S"/>
    <x v="0"/>
    <n v="50000"/>
    <n v="4"/>
    <s v="Bachelors"/>
    <s v="Skilled Manual"/>
    <s v="Yes"/>
    <n v="2"/>
    <s v="0-1 Miles"/>
    <s v="North America"/>
    <n v="42"/>
    <x v="0"/>
  </r>
  <r>
    <x v="986"/>
    <s v="S"/>
    <x v="1"/>
    <n v="40000"/>
    <n v="5"/>
    <s v="High School"/>
    <s v="Professional"/>
    <s v="Yes"/>
    <n v="4"/>
    <s v="10+ Miles"/>
    <s v="North America"/>
    <n v="60"/>
    <x v="1"/>
  </r>
  <r>
    <x v="987"/>
    <s v="S"/>
    <x v="0"/>
    <n v="60000"/>
    <n v="3"/>
    <s v="Graduate Degree"/>
    <s v="Management"/>
    <s v="Yes"/>
    <n v="2"/>
    <s v="10+ Miles"/>
    <s v="North America"/>
    <n v="66"/>
    <x v="0"/>
  </r>
  <r>
    <x v="988"/>
    <s v="M"/>
    <x v="1"/>
    <n v="70000"/>
    <n v="5"/>
    <s v="Bachelors"/>
    <s v="Management"/>
    <s v="Yes"/>
    <n v="2"/>
    <s v="10+ Miles"/>
    <s v="North America"/>
    <n v="63"/>
    <x v="0"/>
  </r>
  <r>
    <x v="989"/>
    <s v="M"/>
    <x v="1"/>
    <n v="60000"/>
    <n v="4"/>
    <s v="Bachelors"/>
    <s v="Skilled Manual"/>
    <s v="No"/>
    <n v="3"/>
    <s v="10+ Miles"/>
    <s v="North America"/>
    <n v="42"/>
    <x v="0"/>
  </r>
  <r>
    <x v="990"/>
    <s v="S"/>
    <x v="0"/>
    <n v="30000"/>
    <n v="0"/>
    <s v="High School"/>
    <s v="Skilled Manual"/>
    <s v="No"/>
    <n v="2"/>
    <s v="5-10 Miles"/>
    <s v="North America"/>
    <n v="26"/>
    <x v="0"/>
  </r>
  <r>
    <x v="991"/>
    <s v="S"/>
    <x v="0"/>
    <n v="60000"/>
    <n v="1"/>
    <s v="Graduate Degree"/>
    <s v="Professional"/>
    <s v="Yes"/>
    <n v="0"/>
    <s v="2-5 Miles"/>
    <s v="North America"/>
    <n v="36"/>
    <x v="1"/>
  </r>
  <r>
    <x v="992"/>
    <s v="M"/>
    <x v="1"/>
    <n v="90000"/>
    <n v="2"/>
    <s v="Partial College"/>
    <s v="Professional"/>
    <s v="No"/>
    <n v="0"/>
    <s v="5-10 Miles"/>
    <s v="North America"/>
    <n v="49"/>
    <x v="1"/>
  </r>
  <r>
    <x v="993"/>
    <s v="S"/>
    <x v="1"/>
    <n v="150000"/>
    <n v="1"/>
    <s v="Partial College"/>
    <s v="Professional"/>
    <s v="No"/>
    <n v="3"/>
    <s v="0-1 Miles"/>
    <s v="North America"/>
    <n v="44"/>
    <x v="1"/>
  </r>
  <r>
    <x v="994"/>
    <s v="M"/>
    <x v="1"/>
    <n v="80000"/>
    <n v="5"/>
    <s v="Partial College"/>
    <s v="Professional"/>
    <s v="Yes"/>
    <n v="3"/>
    <s v="1-2 Miles"/>
    <s v="North America"/>
    <n v="46"/>
    <x v="0"/>
  </r>
  <r>
    <x v="995"/>
    <s v="M"/>
    <x v="1"/>
    <n v="60000"/>
    <n v="2"/>
    <s v="High School"/>
    <s v="Professional"/>
    <s v="Yes"/>
    <n v="2"/>
    <s v="2-5 Miles"/>
    <s v="North America"/>
    <n v="54"/>
    <x v="1"/>
  </r>
  <r>
    <x v="996"/>
    <s v="S"/>
    <x v="1"/>
    <n v="70000"/>
    <n v="4"/>
    <s v="Graduate Degree"/>
    <s v="Professional"/>
    <s v="Yes"/>
    <n v="0"/>
    <s v="2-5 Miles"/>
    <s v="North America"/>
    <n v="35"/>
    <x v="1"/>
  </r>
  <r>
    <x v="997"/>
    <s v="M"/>
    <x v="1"/>
    <n v="60000"/>
    <n v="2"/>
    <s v="Bachelors"/>
    <s v="Skilled Manual"/>
    <s v="Yes"/>
    <n v="0"/>
    <s v="0-1 Miles"/>
    <s v="North America"/>
    <n v="38"/>
    <x v="1"/>
  </r>
  <r>
    <x v="998"/>
    <s v="S"/>
    <x v="1"/>
    <n v="100000"/>
    <n v="3"/>
    <s v="Bachelors"/>
    <s v="Management"/>
    <s v="No"/>
    <n v="3"/>
    <s v="1-2 Miles"/>
    <s v="North America"/>
    <n v="38"/>
    <x v="0"/>
  </r>
  <r>
    <x v="999"/>
    <s v="S"/>
    <x v="1"/>
    <n v="60000"/>
    <n v="3"/>
    <s v="High School"/>
    <s v="Professional"/>
    <s v="Yes"/>
    <n v="2"/>
    <s v="10+ Miles"/>
    <s v="North America"/>
    <n v="53"/>
    <x v="1"/>
  </r>
  <r>
    <x v="5"/>
    <s v="M"/>
    <x v="0"/>
    <n v="10000"/>
    <n v="2"/>
    <s v="Partial College"/>
    <s v="Manual"/>
    <s v="Yes"/>
    <n v="0"/>
    <s v="1-2 Miles"/>
    <s v="Europe"/>
    <n v="50"/>
    <x v="0"/>
  </r>
  <r>
    <x v="9"/>
    <s v="M"/>
    <x v="1"/>
    <n v="120000"/>
    <n v="2"/>
    <s v="Partial College"/>
    <s v="Manual"/>
    <s v="Yes"/>
    <n v="1"/>
    <s v="0-1 Miles"/>
    <s v="Europe"/>
    <n v="40"/>
    <x v="1"/>
  </r>
  <r>
    <x v="10"/>
    <s v="M"/>
    <x v="0"/>
    <n v="30000"/>
    <n v="3"/>
    <s v="High School"/>
    <s v="Skilled Manual"/>
    <s v="No"/>
    <n v="2"/>
    <s v="1-2 Miles"/>
    <s v="Pacific"/>
    <n v="54"/>
    <x v="1"/>
  </r>
  <r>
    <x v="11"/>
    <s v="S"/>
    <x v="0"/>
    <n v="90000"/>
    <n v="0"/>
    <s v="Bachelors"/>
    <s v="Professional"/>
    <s v="No"/>
    <n v="4"/>
    <s v="10+ Miles"/>
    <s v="Pacific"/>
    <n v="36"/>
    <x v="0"/>
  </r>
  <r>
    <x v="12"/>
    <s v="M"/>
    <x v="1"/>
    <n v="170000"/>
    <n v="5"/>
    <s v="Partial College"/>
    <s v="Professional"/>
    <s v="Yes"/>
    <n v="0"/>
    <s v="0-1 Miles"/>
    <s v="Europe"/>
    <n v="55"/>
    <x v="0"/>
  </r>
  <r>
    <x v="13"/>
    <s v="M"/>
    <x v="1"/>
    <n v="40000"/>
    <n v="2"/>
    <s v="Partial College"/>
    <s v="Clerical"/>
    <s v="Yes"/>
    <n v="1"/>
    <s v="1-2 Miles"/>
    <s v="Europe"/>
    <n v="35"/>
    <x v="1"/>
  </r>
  <r>
    <x v="14"/>
    <s v="S"/>
    <x v="1"/>
    <n v="60000"/>
    <n v="1"/>
    <s v="Partial College"/>
    <s v="Skilled Manual"/>
    <s v="No"/>
    <n v="1"/>
    <s v="0-1 Miles"/>
    <s v="Pacific"/>
    <n v="45"/>
    <x v="1"/>
  </r>
  <r>
    <x v="15"/>
    <s v="S"/>
    <x v="0"/>
    <n v="10000"/>
    <n v="2"/>
    <s v="High School"/>
    <s v="Manual"/>
    <s v="Yes"/>
    <n v="1"/>
    <s v="0-1 Miles"/>
    <s v="Europe"/>
    <n v="38"/>
    <x v="1"/>
  </r>
  <r>
    <x v="16"/>
    <s v="S"/>
    <x v="1"/>
    <n v="30000"/>
    <n v="3"/>
    <s v="Partial College"/>
    <s v="Clerical"/>
    <s v="No"/>
    <n v="2"/>
    <s v="1-2 Miles"/>
    <s v="Pacific"/>
    <n v="59"/>
    <x v="1"/>
  </r>
  <r>
    <x v="17"/>
    <s v="M"/>
    <x v="0"/>
    <n v="30000"/>
    <n v="1"/>
    <s v="Bachelors"/>
    <s v="Clerical"/>
    <s v="Yes"/>
    <n v="0"/>
    <s v="0-1 Miles"/>
    <s v="Europe"/>
    <n v="47"/>
    <x v="0"/>
  </r>
  <r>
    <x v="18"/>
    <s v="S"/>
    <x v="1"/>
    <n v="40000"/>
    <n v="2"/>
    <s v="Partial College"/>
    <s v="Clerical"/>
    <s v="Yes"/>
    <n v="1"/>
    <s v="1-2 Miles"/>
    <s v="Europe"/>
    <n v="35"/>
    <x v="1"/>
  </r>
  <r>
    <x v="19"/>
    <s v="S"/>
    <x v="1"/>
    <n v="20000"/>
    <n v="2"/>
    <s v="Partial High School"/>
    <s v="Clerical"/>
    <s v="Yes"/>
    <n v="2"/>
    <s v="5-10 Miles"/>
    <s v="Pacific"/>
    <n v="55"/>
    <x v="1"/>
  </r>
  <r>
    <x v="20"/>
    <s v="M"/>
    <x v="0"/>
    <n v="40000"/>
    <n v="0"/>
    <s v="Graduate Degree"/>
    <s v="Clerical"/>
    <s v="Yes"/>
    <n v="0"/>
    <s v="0-1 Miles"/>
    <s v="Europe"/>
    <n v="36"/>
    <x v="1"/>
  </r>
  <r>
    <x v="21"/>
    <s v="S"/>
    <x v="0"/>
    <n v="80000"/>
    <n v="0"/>
    <s v="Bachelors"/>
    <s v="Professional"/>
    <s v="Yes"/>
    <n v="4"/>
    <s v="10+ Miles"/>
    <s v="Pacific"/>
    <n v="35"/>
    <x v="0"/>
  </r>
  <r>
    <x v="22"/>
    <s v="S"/>
    <x v="1"/>
    <n v="40000"/>
    <n v="2"/>
    <s v="Partial College"/>
    <s v="Clerical"/>
    <s v="Yes"/>
    <n v="0"/>
    <s v="1-2 Miles"/>
    <s v="Europe"/>
    <n v="35"/>
    <x v="1"/>
  </r>
  <r>
    <x v="23"/>
    <s v="M"/>
    <x v="0"/>
    <n v="80000"/>
    <n v="5"/>
    <s v="High School"/>
    <s v="Management"/>
    <s v="No"/>
    <n v="3"/>
    <s v="5-10 Miles"/>
    <s v="Europe"/>
    <n v="56"/>
    <x v="0"/>
  </r>
  <r>
    <x v="24"/>
    <s v="S"/>
    <x v="1"/>
    <n v="40000"/>
    <n v="2"/>
    <s v="Partial College"/>
    <s v="Clerical"/>
    <s v="No"/>
    <n v="1"/>
    <s v="0-1 Miles"/>
    <s v="Europe"/>
    <n v="34"/>
    <x v="0"/>
  </r>
  <r>
    <x v="25"/>
    <s v="S"/>
    <x v="1"/>
    <n v="30000"/>
    <n v="1"/>
    <s v="Bachelors"/>
    <s v="Clerical"/>
    <s v="Yes"/>
    <n v="0"/>
    <s v="0-1 Miles"/>
    <s v="Europe"/>
    <n v="63"/>
    <x v="0"/>
  </r>
  <r>
    <x v="26"/>
    <s v="S"/>
    <x v="1"/>
    <n v="30000"/>
    <n v="0"/>
    <s v="Partial College"/>
    <s v="Clerical"/>
    <s v="No"/>
    <n v="1"/>
    <s v="0-1 Miles"/>
    <s v="Europe"/>
    <n v="29"/>
    <x v="1"/>
  </r>
  <r>
    <x v="27"/>
    <s v="S"/>
    <x v="0"/>
    <n v="100000"/>
    <n v="0"/>
    <s v="Bachelors"/>
    <s v="Professional"/>
    <s v="No"/>
    <n v="1"/>
    <s v="5-10 Miles"/>
    <s v="Pacific"/>
    <n v="40"/>
    <x v="0"/>
  </r>
  <r>
    <x v="28"/>
    <s v="M"/>
    <x v="1"/>
    <n v="70000"/>
    <n v="5"/>
    <s v="Partial College"/>
    <s v="Skilled Manual"/>
    <s v="Yes"/>
    <n v="2"/>
    <s v="5-10 Miles"/>
    <s v="Pacific"/>
    <n v="44"/>
    <x v="0"/>
  </r>
  <r>
    <x v="29"/>
    <s v="S"/>
    <x v="0"/>
    <n v="20000"/>
    <n v="0"/>
    <s v="Partial High School"/>
    <s v="Manual"/>
    <s v="No"/>
    <n v="2"/>
    <s v="0-1 Miles"/>
    <s v="Europe"/>
    <n v="32"/>
    <x v="1"/>
  </r>
  <r>
    <x v="30"/>
    <s v="M"/>
    <x v="0"/>
    <n v="20000"/>
    <n v="2"/>
    <s v="Partial College"/>
    <s v="Manual"/>
    <s v="Yes"/>
    <n v="0"/>
    <s v="0-1 Miles"/>
    <s v="Europe"/>
    <n v="63"/>
    <x v="0"/>
  </r>
  <r>
    <x v="31"/>
    <s v="M"/>
    <x v="1"/>
    <n v="10000"/>
    <n v="0"/>
    <s v="Partial College"/>
    <s v="Manual"/>
    <s v="No"/>
    <n v="1"/>
    <s v="0-1 Miles"/>
    <s v="Pacific"/>
    <n v="26"/>
    <x v="1"/>
  </r>
  <r>
    <x v="32"/>
    <s v="S"/>
    <x v="0"/>
    <n v="20000"/>
    <n v="0"/>
    <s v="High School"/>
    <s v="Manual"/>
    <s v="No"/>
    <n v="1"/>
    <s v="5-10 Miles"/>
    <s v="Europe"/>
    <n v="31"/>
    <x v="0"/>
  </r>
  <r>
    <x v="33"/>
    <s v="S"/>
    <x v="1"/>
    <n v="80000"/>
    <n v="2"/>
    <s v="High School"/>
    <s v="Skilled Manual"/>
    <s v="No"/>
    <n v="2"/>
    <s v="1-2 Miles"/>
    <s v="Pacific"/>
    <n v="50"/>
    <x v="1"/>
  </r>
  <r>
    <x v="1000"/>
    <m/>
    <x v="2"/>
    <m/>
    <m/>
    <m/>
    <m/>
    <m/>
    <m/>
    <m/>
    <m/>
    <n v="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81C486-6F88-423F-91EA-E6C200D916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6" firstHeaderRow="1" firstDataRow="1" firstDataCol="1"/>
  <pivotFields count="13">
    <pivotField showAll="0"/>
    <pivotField showAll="0"/>
    <pivotField axis="axisRow" showAll="0">
      <items count="3">
        <item x="0"/>
        <item x="1"/>
        <item t="default"/>
      </items>
    </pivotField>
    <pivotField numFmtId="164" showAll="0"/>
    <pivotField showAll="0"/>
    <pivotField dataField="1" showAll="0"/>
    <pivotField showAll="0">
      <items count="6">
        <item h="1" x="1"/>
        <item h="1" x="4"/>
        <item h="1" x="3"/>
        <item x="2"/>
        <item h="1" x="0"/>
        <item t="default"/>
      </items>
    </pivotField>
    <pivotField showAll="0"/>
    <pivotField showAll="0"/>
    <pivotField showAll="0"/>
    <pivotField showAll="0">
      <items count="4">
        <item h="1" x="0"/>
        <item h="1" x="2"/>
        <item x="1"/>
        <item t="default"/>
      </items>
    </pivotField>
    <pivotField showAll="0"/>
    <pivotField showAll="0"/>
  </pivotFields>
  <rowFields count="1">
    <field x="2"/>
  </rowFields>
  <rowItems count="3">
    <i>
      <x/>
    </i>
    <i>
      <x v="1"/>
    </i>
    <i t="grand">
      <x/>
    </i>
  </rowItems>
  <colItems count="1">
    <i/>
  </colItems>
  <dataFields count="1">
    <dataField name="Count of Education" fld="5" subtotal="count" baseField="0" baseItem="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2" count="1" selected="0">
            <x v="0"/>
          </reference>
        </references>
      </pivotArea>
    </chartFormat>
    <chartFormat chart="23"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373189-1392-44AB-B1D3-119FC913A6A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13">
    <pivotField showAll="0"/>
    <pivotField showAll="0"/>
    <pivotField axis="axisRow" showAll="0">
      <items count="3">
        <item x="0"/>
        <item x="1"/>
        <item t="default"/>
      </items>
    </pivotField>
    <pivotField dataField="1" numFmtId="164" showAll="0"/>
    <pivotField showAll="0"/>
    <pivotField showAll="0"/>
    <pivotField showAll="0">
      <items count="6">
        <item h="1" x="1"/>
        <item h="1" x="4"/>
        <item h="1" x="3"/>
        <item x="2"/>
        <item h="1" x="0"/>
        <item t="default"/>
      </items>
    </pivotField>
    <pivotField showAll="0"/>
    <pivotField showAll="0"/>
    <pivotField showAll="0"/>
    <pivotField showAll="0">
      <items count="4">
        <item h="1" x="0"/>
        <item h="1" x="2"/>
        <item x="1"/>
        <item t="default"/>
      </items>
    </pivotField>
    <pivotField showAll="0"/>
    <pivotField showAll="0"/>
  </pivotFields>
  <rowFields count="1">
    <field x="2"/>
  </rowFields>
  <rowItems count="3">
    <i>
      <x/>
    </i>
    <i>
      <x v="1"/>
    </i>
    <i t="grand">
      <x/>
    </i>
  </rowItems>
  <colItems count="1">
    <i/>
  </colItems>
  <dataFields count="1">
    <dataField name="Sum of Income" fld="3" baseField="0" baseItem="0" numFmtId="164"/>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0"/>
          </reference>
        </references>
      </pivotArea>
    </chartFormat>
    <chartFormat chart="4" format="8">
      <pivotArea type="data" outline="0" fieldPosition="0">
        <references count="2">
          <reference field="4294967294" count="1" selected="0">
            <x v="0"/>
          </reference>
          <reference field="2"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2" count="1" selected="0">
            <x v="0"/>
          </reference>
        </references>
      </pivotArea>
    </chartFormat>
    <chartFormat chart="12" format="14">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CEDA6F-C881-4849-B13F-582290B3998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0" firstHeaderRow="1" firstDataRow="1" firstDataCol="1"/>
  <pivotFields count="13">
    <pivotField showAll="0"/>
    <pivotField axis="axisRow" showAll="0">
      <items count="3">
        <item x="0"/>
        <item x="1"/>
        <item t="default"/>
      </items>
    </pivotField>
    <pivotField axis="axisRow" showAll="0">
      <items count="3">
        <item x="0"/>
        <item x="1"/>
        <item t="default"/>
      </items>
    </pivotField>
    <pivotField numFmtId="164" showAll="0"/>
    <pivotField showAll="0"/>
    <pivotField showAll="0"/>
    <pivotField showAll="0">
      <items count="6">
        <item h="1" x="1"/>
        <item h="1" x="4"/>
        <item h="1" x="3"/>
        <item x="2"/>
        <item h="1" x="0"/>
        <item t="default"/>
      </items>
    </pivotField>
    <pivotField showAll="0"/>
    <pivotField showAll="0"/>
    <pivotField showAll="0"/>
    <pivotField showAll="0">
      <items count="4">
        <item h="1" x="0"/>
        <item h="1" x="2"/>
        <item x="1"/>
        <item t="default"/>
      </items>
    </pivotField>
    <pivotField showAll="0"/>
    <pivotField dataField="1" showAll="0"/>
  </pivotFields>
  <rowFields count="2">
    <field x="1"/>
    <field x="2"/>
  </rowFields>
  <rowItems count="7">
    <i>
      <x/>
    </i>
    <i r="1">
      <x/>
    </i>
    <i r="1">
      <x v="1"/>
    </i>
    <i>
      <x v="1"/>
    </i>
    <i r="1">
      <x/>
    </i>
    <i r="1">
      <x v="1"/>
    </i>
    <i t="grand">
      <x/>
    </i>
  </rowItems>
  <colItems count="1">
    <i/>
  </colItems>
  <dataFields count="1">
    <dataField name="Count of Purchased Bike" fld="12" subtotal="count" baseField="0" baseItem="0"/>
  </dataFields>
  <chartFormats count="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895D7C-A232-41DF-8AD2-867E2F7BE66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20"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7A477E-BC5B-4684-8865-2C80F4AB9331}"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82BC5D-0344-4094-93D1-F3EB430829E1}"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EB70F8A-6A6D-4E2A-86D6-FFC97C4B9079}" sourceName="Occupation">
  <pivotTables>
    <pivotTable tabId="3" name="PivotTable1"/>
    <pivotTable tabId="4" name="PivotTable2"/>
    <pivotTable tabId="5" name="PivotTable3"/>
  </pivotTables>
  <data>
    <tabular pivotCacheId="558331660" customListSort="0">
      <items count="5">
        <i x="1"/>
        <i x="4"/>
        <i x="3"/>
        <i x="2" s="1"/>
        <i x="0"/>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AED6B30-37A0-46F4-97CF-290835A9BC34}" sourceName="Region">
  <pivotTables>
    <pivotTable tabId="3" name="PivotTable1"/>
    <pivotTable tabId="4" name="PivotTable2"/>
    <pivotTable tabId="5" name="PivotTable3"/>
  </pivotTables>
  <data>
    <tabular pivotCacheId="558331660">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CF6EAE10-8816-4AE4-96C8-E4909772D8CE}" cache="Slicer_Occupation" caption="Occupation" rowHeight="241300"/>
  <slicer name="Region" xr10:uid="{D6A2367E-86C9-4AB8-9369-76D5B6C6B77B}"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1" xr10:uid="{A830F883-2559-402E-8261-7B4DDF7097CD}" cache="Slicer_Occupation" caption="Occupation" style="SlicerStyleDark1" rowHeight="241300"/>
  <slicer name="Region 1" xr10:uid="{360BC42E-53BF-41F2-8796-D7FA93C343E4}" cache="Slicer_Region" caption="Region" style="SlicerStyleDark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2" xr10:uid="{D873BBF7-0C22-485A-92E1-E9C5B6A32961}" cache="Slicer_Occupation" caption="Occupation" style="SlicerStyleDark1" rowHeight="241300"/>
  <slicer name="Region 2" xr10:uid="{D8B29183-86BB-4601-A896-7938FE9D909D}" cache="Slicer_Region" caption="Reg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AEED3-7268-4D92-B8F6-61714327A9EC}">
  <dimension ref="A3:B8"/>
  <sheetViews>
    <sheetView workbookViewId="0">
      <selection activeCell="B9" sqref="B9"/>
    </sheetView>
  </sheetViews>
  <sheetFormatPr defaultRowHeight="15" x14ac:dyDescent="0.25"/>
  <cols>
    <col min="1" max="1" width="13.140625" bestFit="1" customWidth="1"/>
    <col min="2" max="2" width="18" bestFit="1" customWidth="1"/>
  </cols>
  <sheetData>
    <row r="3" spans="1:2" x14ac:dyDescent="0.25">
      <c r="A3" s="3" t="s">
        <v>36</v>
      </c>
      <c r="B3" t="s">
        <v>38</v>
      </c>
    </row>
    <row r="4" spans="1:2" x14ac:dyDescent="0.25">
      <c r="A4" s="4" t="s">
        <v>14</v>
      </c>
      <c r="B4">
        <v>32</v>
      </c>
    </row>
    <row r="5" spans="1:2" x14ac:dyDescent="0.25">
      <c r="A5" s="4" t="s">
        <v>13</v>
      </c>
      <c r="B5">
        <v>35</v>
      </c>
    </row>
    <row r="6" spans="1:2" x14ac:dyDescent="0.25">
      <c r="A6" s="4" t="s">
        <v>37</v>
      </c>
      <c r="B6">
        <v>67</v>
      </c>
    </row>
    <row r="8" spans="1:2" x14ac:dyDescent="0.25">
      <c r="B8">
        <f>GETPIVOTDATA("Education",$A$3)</f>
        <v>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D95BD-E13B-41AC-8E0F-6D4ED45541AE}">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2800-6A50-4CCC-B3DB-C7A7B4F0EEE2}">
  <dimension ref="A3:B8"/>
  <sheetViews>
    <sheetView workbookViewId="0">
      <selection activeCell="M12" sqref="M12"/>
    </sheetView>
  </sheetViews>
  <sheetFormatPr defaultRowHeight="15" x14ac:dyDescent="0.25"/>
  <cols>
    <col min="1" max="1" width="13.140625" bestFit="1" customWidth="1"/>
    <col min="2" max="2" width="14.28515625" bestFit="1" customWidth="1"/>
  </cols>
  <sheetData>
    <row r="3" spans="1:2" x14ac:dyDescent="0.25">
      <c r="A3" s="3" t="s">
        <v>36</v>
      </c>
      <c r="B3" t="s">
        <v>39</v>
      </c>
    </row>
    <row r="4" spans="1:2" x14ac:dyDescent="0.25">
      <c r="A4" s="4" t="s">
        <v>14</v>
      </c>
      <c r="B4" s="1">
        <v>2540000</v>
      </c>
    </row>
    <row r="5" spans="1:2" x14ac:dyDescent="0.25">
      <c r="A5" s="4" t="s">
        <v>13</v>
      </c>
      <c r="B5" s="1">
        <v>2680000</v>
      </c>
    </row>
    <row r="6" spans="1:2" x14ac:dyDescent="0.25">
      <c r="A6" s="4" t="s">
        <v>37</v>
      </c>
      <c r="B6" s="1">
        <v>5220000</v>
      </c>
    </row>
    <row r="8" spans="1:2" x14ac:dyDescent="0.25">
      <c r="B8">
        <f>GETPIVOTDATA("Income",$A$3)</f>
        <v>5220000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A3073-D4D3-4728-8F9F-1A1AEE3449A4}">
  <dimension ref="A3:G12"/>
  <sheetViews>
    <sheetView workbookViewId="0">
      <selection activeCell="B13" sqref="B13"/>
    </sheetView>
  </sheetViews>
  <sheetFormatPr defaultRowHeight="15" x14ac:dyDescent="0.25"/>
  <cols>
    <col min="1" max="1" width="13.140625" bestFit="1" customWidth="1"/>
    <col min="2" max="2" width="22.85546875" bestFit="1" customWidth="1"/>
    <col min="6" max="6" width="11.7109375" customWidth="1"/>
    <col min="7" max="7" width="22" customWidth="1"/>
  </cols>
  <sheetData>
    <row r="3" spans="1:7" x14ac:dyDescent="0.25">
      <c r="A3" s="3" t="s">
        <v>36</v>
      </c>
      <c r="B3" t="s">
        <v>40</v>
      </c>
    </row>
    <row r="4" spans="1:7" x14ac:dyDescent="0.25">
      <c r="A4" s="4" t="s">
        <v>13</v>
      </c>
      <c r="B4">
        <v>22</v>
      </c>
      <c r="F4" s="8"/>
      <c r="G4" s="8"/>
    </row>
    <row r="5" spans="1:7" x14ac:dyDescent="0.25">
      <c r="A5" s="5" t="s">
        <v>14</v>
      </c>
      <c r="B5">
        <v>8</v>
      </c>
      <c r="F5" s="10"/>
      <c r="G5" s="9"/>
    </row>
    <row r="6" spans="1:7" x14ac:dyDescent="0.25">
      <c r="A6" s="5" t="s">
        <v>13</v>
      </c>
      <c r="B6">
        <v>14</v>
      </c>
      <c r="F6" s="5"/>
    </row>
    <row r="7" spans="1:7" x14ac:dyDescent="0.25">
      <c r="A7" s="4" t="s">
        <v>25</v>
      </c>
      <c r="B7">
        <v>45</v>
      </c>
      <c r="F7" s="5"/>
    </row>
    <row r="8" spans="1:7" x14ac:dyDescent="0.25">
      <c r="A8" s="5" t="s">
        <v>14</v>
      </c>
      <c r="B8">
        <v>24</v>
      </c>
      <c r="F8" s="10"/>
      <c r="G8" s="9"/>
    </row>
    <row r="9" spans="1:7" x14ac:dyDescent="0.25">
      <c r="A9" s="5" t="s">
        <v>13</v>
      </c>
      <c r="B9">
        <v>21</v>
      </c>
      <c r="F9" s="5"/>
    </row>
    <row r="10" spans="1:7" x14ac:dyDescent="0.25">
      <c r="A10" s="4" t="s">
        <v>37</v>
      </c>
      <c r="B10">
        <v>67</v>
      </c>
      <c r="F10" s="5"/>
    </row>
    <row r="12" spans="1:7" x14ac:dyDescent="0.25">
      <c r="B12">
        <f>GETPIVOTDATA("Purchased Bike",$A$3)</f>
        <v>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4B697-3977-43B0-9ADE-F1987ADA30B0}">
  <dimension ref="A1"/>
  <sheetViews>
    <sheetView workbookViewId="0">
      <selection activeCell="A3" sqref="A3:B6"/>
    </sheetView>
  </sheetViews>
  <sheetFormatPr defaultRowHeight="15" x14ac:dyDescent="0.25"/>
  <cols>
    <col min="1" max="1" width="13.140625" bestFit="1" customWidth="1"/>
    <col min="2" max="2" width="11" bestFit="1" customWidth="1"/>
    <col min="3" max="3" width="9.425781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84278-DDCA-43D6-BB31-7B296D541D1E}">
  <dimension ref="A3:C20"/>
  <sheetViews>
    <sheetView workbookViewId="0">
      <selection activeCell="A3" sqref="A3"/>
    </sheetView>
  </sheetViews>
  <sheetFormatPr defaultRowHeight="15" x14ac:dyDescent="0.25"/>
  <sheetData>
    <row r="3" spans="1:3" x14ac:dyDescent="0.25">
      <c r="A3" s="11"/>
      <c r="B3" s="12"/>
      <c r="C3" s="13"/>
    </row>
    <row r="4" spans="1:3" x14ac:dyDescent="0.25">
      <c r="A4" s="14"/>
      <c r="B4" s="15"/>
      <c r="C4" s="16"/>
    </row>
    <row r="5" spans="1:3" x14ac:dyDescent="0.25">
      <c r="A5" s="14"/>
      <c r="B5" s="15"/>
      <c r="C5" s="16"/>
    </row>
    <row r="6" spans="1:3" x14ac:dyDescent="0.25">
      <c r="A6" s="14"/>
      <c r="B6" s="15"/>
      <c r="C6" s="16"/>
    </row>
    <row r="7" spans="1:3" x14ac:dyDescent="0.25">
      <c r="A7" s="14"/>
      <c r="B7" s="15"/>
      <c r="C7" s="16"/>
    </row>
    <row r="8" spans="1:3" x14ac:dyDescent="0.25">
      <c r="A8" s="14"/>
      <c r="B8" s="15"/>
      <c r="C8" s="16"/>
    </row>
    <row r="9" spans="1:3" x14ac:dyDescent="0.25">
      <c r="A9" s="14"/>
      <c r="B9" s="15"/>
      <c r="C9" s="16"/>
    </row>
    <row r="10" spans="1:3" x14ac:dyDescent="0.25">
      <c r="A10" s="14"/>
      <c r="B10" s="15"/>
      <c r="C10" s="16"/>
    </row>
    <row r="11" spans="1:3" x14ac:dyDescent="0.25">
      <c r="A11" s="14"/>
      <c r="B11" s="15"/>
      <c r="C11" s="16"/>
    </row>
    <row r="12" spans="1:3" x14ac:dyDescent="0.25">
      <c r="A12" s="14"/>
      <c r="B12" s="15"/>
      <c r="C12" s="16"/>
    </row>
    <row r="13" spans="1:3" x14ac:dyDescent="0.25">
      <c r="A13" s="14"/>
      <c r="B13" s="15"/>
      <c r="C13" s="16"/>
    </row>
    <row r="14" spans="1:3" x14ac:dyDescent="0.25">
      <c r="A14" s="14"/>
      <c r="B14" s="15"/>
      <c r="C14" s="16"/>
    </row>
    <row r="15" spans="1:3" x14ac:dyDescent="0.25">
      <c r="A15" s="14"/>
      <c r="B15" s="15"/>
      <c r="C15" s="16"/>
    </row>
    <row r="16" spans="1:3" x14ac:dyDescent="0.25">
      <c r="A16" s="14"/>
      <c r="B16" s="15"/>
      <c r="C16" s="16"/>
    </row>
    <row r="17" spans="1:3" x14ac:dyDescent="0.25">
      <c r="A17" s="14"/>
      <c r="B17" s="15"/>
      <c r="C17" s="16"/>
    </row>
    <row r="18" spans="1:3" x14ac:dyDescent="0.25">
      <c r="A18" s="14"/>
      <c r="B18" s="15"/>
      <c r="C18" s="16"/>
    </row>
    <row r="19" spans="1:3" x14ac:dyDescent="0.25">
      <c r="A19" s="14"/>
      <c r="B19" s="15"/>
      <c r="C19" s="16"/>
    </row>
    <row r="20" spans="1:3" x14ac:dyDescent="0.25">
      <c r="A20" s="17"/>
      <c r="B20" s="18"/>
      <c r="C20" s="1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1EEE-DCC7-403B-BE7B-1489C3123006}">
  <dimension ref="A3:C20"/>
  <sheetViews>
    <sheetView workbookViewId="0">
      <selection activeCell="B5" sqref="B5"/>
    </sheetView>
  </sheetViews>
  <sheetFormatPr defaultRowHeight="15" x14ac:dyDescent="0.25"/>
  <sheetData>
    <row r="3" spans="1:3" x14ac:dyDescent="0.25">
      <c r="A3" s="11"/>
      <c r="B3" s="12"/>
      <c r="C3" s="13"/>
    </row>
    <row r="4" spans="1:3" x14ac:dyDescent="0.25">
      <c r="A4" s="14"/>
      <c r="B4" s="15"/>
      <c r="C4" s="16"/>
    </row>
    <row r="5" spans="1:3" x14ac:dyDescent="0.25">
      <c r="A5" s="14"/>
      <c r="B5" s="15"/>
      <c r="C5" s="16"/>
    </row>
    <row r="6" spans="1:3" x14ac:dyDescent="0.25">
      <c r="A6" s="14"/>
      <c r="B6" s="15"/>
      <c r="C6" s="16"/>
    </row>
    <row r="7" spans="1:3" x14ac:dyDescent="0.25">
      <c r="A7" s="14"/>
      <c r="B7" s="15"/>
      <c r="C7" s="16"/>
    </row>
    <row r="8" spans="1:3" x14ac:dyDescent="0.25">
      <c r="A8" s="14"/>
      <c r="B8" s="15"/>
      <c r="C8" s="16"/>
    </row>
    <row r="9" spans="1:3" x14ac:dyDescent="0.25">
      <c r="A9" s="14"/>
      <c r="B9" s="15"/>
      <c r="C9" s="16"/>
    </row>
    <row r="10" spans="1:3" x14ac:dyDescent="0.25">
      <c r="A10" s="14"/>
      <c r="B10" s="15"/>
      <c r="C10" s="16"/>
    </row>
    <row r="11" spans="1:3" x14ac:dyDescent="0.25">
      <c r="A11" s="14"/>
      <c r="B11" s="15"/>
      <c r="C11" s="16"/>
    </row>
    <row r="12" spans="1:3" x14ac:dyDescent="0.25">
      <c r="A12" s="14"/>
      <c r="B12" s="15"/>
      <c r="C12" s="16"/>
    </row>
    <row r="13" spans="1:3" x14ac:dyDescent="0.25">
      <c r="A13" s="14"/>
      <c r="B13" s="15"/>
      <c r="C13" s="16"/>
    </row>
    <row r="14" spans="1:3" x14ac:dyDescent="0.25">
      <c r="A14" s="14"/>
      <c r="B14" s="15"/>
      <c r="C14" s="16"/>
    </row>
    <row r="15" spans="1:3" x14ac:dyDescent="0.25">
      <c r="A15" s="14"/>
      <c r="B15" s="15"/>
      <c r="C15" s="16"/>
    </row>
    <row r="16" spans="1:3" x14ac:dyDescent="0.25">
      <c r="A16" s="14"/>
      <c r="B16" s="15"/>
      <c r="C16" s="16"/>
    </row>
    <row r="17" spans="1:3" x14ac:dyDescent="0.25">
      <c r="A17" s="14"/>
      <c r="B17" s="15"/>
      <c r="C17" s="16"/>
    </row>
    <row r="18" spans="1:3" x14ac:dyDescent="0.25">
      <c r="A18" s="14"/>
      <c r="B18" s="15"/>
      <c r="C18" s="16"/>
    </row>
    <row r="19" spans="1:3" x14ac:dyDescent="0.25">
      <c r="A19" s="14"/>
      <c r="B19" s="15"/>
      <c r="C19" s="16"/>
    </row>
    <row r="20" spans="1:3" x14ac:dyDescent="0.25">
      <c r="A20" s="17"/>
      <c r="B20" s="18"/>
      <c r="C20" s="1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34A3A-2766-4958-B1F7-81CACEE07C2B}">
  <dimension ref="A3:C20"/>
  <sheetViews>
    <sheetView workbookViewId="0">
      <selection activeCell="A3" sqref="A3"/>
    </sheetView>
  </sheetViews>
  <sheetFormatPr defaultRowHeight="15" x14ac:dyDescent="0.25"/>
  <sheetData>
    <row r="3" spans="1:3" x14ac:dyDescent="0.25">
      <c r="A3" s="11"/>
      <c r="B3" s="12"/>
      <c r="C3" s="13"/>
    </row>
    <row r="4" spans="1:3" x14ac:dyDescent="0.25">
      <c r="A4" s="14"/>
      <c r="B4" s="15"/>
      <c r="C4" s="16"/>
    </row>
    <row r="5" spans="1:3" x14ac:dyDescent="0.25">
      <c r="A5" s="14"/>
      <c r="B5" s="15"/>
      <c r="C5" s="16"/>
    </row>
    <row r="6" spans="1:3" x14ac:dyDescent="0.25">
      <c r="A6" s="14"/>
      <c r="B6" s="15"/>
      <c r="C6" s="16"/>
    </row>
    <row r="7" spans="1:3" x14ac:dyDescent="0.25">
      <c r="A7" s="14"/>
      <c r="B7" s="15"/>
      <c r="C7" s="16"/>
    </row>
    <row r="8" spans="1:3" x14ac:dyDescent="0.25">
      <c r="A8" s="14"/>
      <c r="B8" s="15"/>
      <c r="C8" s="16"/>
    </row>
    <row r="9" spans="1:3" x14ac:dyDescent="0.25">
      <c r="A9" s="14"/>
      <c r="B9" s="15"/>
      <c r="C9" s="16"/>
    </row>
    <row r="10" spans="1:3" x14ac:dyDescent="0.25">
      <c r="A10" s="14"/>
      <c r="B10" s="15"/>
      <c r="C10" s="16"/>
    </row>
    <row r="11" spans="1:3" x14ac:dyDescent="0.25">
      <c r="A11" s="14"/>
      <c r="B11" s="15"/>
      <c r="C11" s="16"/>
    </row>
    <row r="12" spans="1:3" x14ac:dyDescent="0.25">
      <c r="A12" s="14"/>
      <c r="B12" s="15"/>
      <c r="C12" s="16"/>
    </row>
    <row r="13" spans="1:3" x14ac:dyDescent="0.25">
      <c r="A13" s="14"/>
      <c r="B13" s="15"/>
      <c r="C13" s="16"/>
    </row>
    <row r="14" spans="1:3" x14ac:dyDescent="0.25">
      <c r="A14" s="14"/>
      <c r="B14" s="15"/>
      <c r="C14" s="16"/>
    </row>
    <row r="15" spans="1:3" x14ac:dyDescent="0.25">
      <c r="A15" s="14"/>
      <c r="B15" s="15"/>
      <c r="C15" s="16"/>
    </row>
    <row r="16" spans="1:3" x14ac:dyDescent="0.25">
      <c r="A16" s="14"/>
      <c r="B16" s="15"/>
      <c r="C16" s="16"/>
    </row>
    <row r="17" spans="1:3" x14ac:dyDescent="0.25">
      <c r="A17" s="14"/>
      <c r="B17" s="15"/>
      <c r="C17" s="16"/>
    </row>
    <row r="18" spans="1:3" x14ac:dyDescent="0.25">
      <c r="A18" s="14"/>
      <c r="B18" s="15"/>
      <c r="C18" s="16"/>
    </row>
    <row r="19" spans="1:3" x14ac:dyDescent="0.25">
      <c r="A19" s="14"/>
      <c r="B19" s="15"/>
      <c r="C19" s="16"/>
    </row>
    <row r="20" spans="1:3" x14ac:dyDescent="0.25">
      <c r="A20" s="17"/>
      <c r="B20" s="18"/>
      <c r="C20" s="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8DF8E-99EE-41C8-9693-0E1E027B502F}">
  <dimension ref="A1:M1028"/>
  <sheetViews>
    <sheetView workbookViewId="0">
      <selection sqref="A1:M1028"/>
    </sheetView>
  </sheetViews>
  <sheetFormatPr defaultRowHeight="15" x14ac:dyDescent="0.25"/>
  <cols>
    <col min="2" max="2" width="16.85546875" customWidth="1"/>
    <col min="4" max="4" width="11.5703125" customWidth="1"/>
    <col min="6" max="6" width="20.42578125" customWidth="1"/>
    <col min="7" max="7" width="15.28515625" customWidth="1"/>
    <col min="8" max="8" width="12.42578125" customWidth="1"/>
    <col min="10" max="10" width="20.28515625" customWidth="1"/>
    <col min="13" max="13" width="14.1406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row r="1028" spans="1:13" x14ac:dyDescent="0.25">
      <c r="L1028">
        <f>MIN(L2:L1027)</f>
        <v>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A20CA-03A0-48B3-8BAC-E5A687378350}">
  <dimension ref="A1:W23"/>
  <sheetViews>
    <sheetView showGridLines="0" showRowColHeaders="0" topLeftCell="C1" workbookViewId="0">
      <selection activeCell="O11" sqref="O11"/>
    </sheetView>
  </sheetViews>
  <sheetFormatPr defaultRowHeight="15" x14ac:dyDescent="0.25"/>
  <sheetData>
    <row r="1" spans="1:23" x14ac:dyDescent="0.25">
      <c r="A1" s="7"/>
      <c r="B1" s="7"/>
      <c r="C1" s="7"/>
      <c r="D1" s="7"/>
      <c r="E1" s="7"/>
      <c r="F1" s="7"/>
      <c r="G1" s="7"/>
      <c r="H1" s="7"/>
      <c r="I1" s="21" t="s">
        <v>41</v>
      </c>
      <c r="J1" s="21"/>
      <c r="K1" s="21"/>
      <c r="L1" s="21"/>
      <c r="M1" s="21"/>
      <c r="N1" s="21"/>
      <c r="O1" s="21"/>
      <c r="P1" s="21"/>
      <c r="Q1" s="7"/>
      <c r="R1" s="7"/>
      <c r="S1" s="7"/>
      <c r="T1" s="7"/>
      <c r="U1" s="7"/>
      <c r="V1" s="7"/>
      <c r="W1" s="7"/>
    </row>
    <row r="2" spans="1:23" x14ac:dyDescent="0.25">
      <c r="A2" s="7"/>
      <c r="B2" s="7"/>
      <c r="C2" s="7"/>
      <c r="D2" s="7"/>
      <c r="E2" s="7"/>
      <c r="F2" s="7"/>
      <c r="G2" s="7"/>
      <c r="H2" s="7"/>
      <c r="I2" s="21"/>
      <c r="J2" s="21"/>
      <c r="K2" s="21"/>
      <c r="L2" s="21"/>
      <c r="M2" s="21"/>
      <c r="N2" s="21"/>
      <c r="O2" s="21"/>
      <c r="P2" s="21"/>
      <c r="Q2" s="7"/>
      <c r="R2" s="7"/>
      <c r="S2" s="7"/>
      <c r="T2" s="7"/>
      <c r="U2" s="7"/>
      <c r="V2" s="7"/>
      <c r="W2" s="7"/>
    </row>
    <row r="3" spans="1:23" x14ac:dyDescent="0.25">
      <c r="A3" s="7"/>
      <c r="B3" s="7"/>
      <c r="C3" s="7"/>
      <c r="D3" s="7"/>
      <c r="E3" s="7"/>
      <c r="F3" s="7"/>
      <c r="G3" s="22" t="s">
        <v>42</v>
      </c>
      <c r="H3" s="22"/>
      <c r="I3" s="22"/>
      <c r="J3" s="22"/>
      <c r="K3" s="22"/>
      <c r="L3" s="22"/>
      <c r="M3" s="22"/>
      <c r="N3" s="22"/>
      <c r="O3" s="22"/>
      <c r="P3" s="22"/>
      <c r="Q3" s="22"/>
      <c r="R3" s="22"/>
      <c r="S3" s="22"/>
      <c r="T3" s="22"/>
      <c r="U3" s="7"/>
      <c r="V3" s="7"/>
      <c r="W3" s="7"/>
    </row>
    <row r="4" spans="1:23" x14ac:dyDescent="0.25">
      <c r="A4" s="7"/>
      <c r="B4" s="7"/>
      <c r="C4" s="7"/>
      <c r="D4" s="7"/>
      <c r="E4" s="7"/>
      <c r="F4" s="7"/>
      <c r="G4" s="22"/>
      <c r="H4" s="22"/>
      <c r="I4" s="22"/>
      <c r="J4" s="22"/>
      <c r="K4" s="22"/>
      <c r="L4" s="22"/>
      <c r="M4" s="22"/>
      <c r="N4" s="22"/>
      <c r="O4" s="22"/>
      <c r="P4" s="22"/>
      <c r="Q4" s="22"/>
      <c r="R4" s="22"/>
      <c r="S4" s="22"/>
      <c r="T4" s="22"/>
      <c r="U4" s="7"/>
      <c r="V4" s="7"/>
      <c r="W4" s="7"/>
    </row>
    <row r="5" spans="1:23" x14ac:dyDescent="0.25">
      <c r="A5" s="6"/>
      <c r="B5" s="6"/>
      <c r="C5" s="6"/>
      <c r="D5" s="6"/>
      <c r="E5" s="6"/>
      <c r="F5" s="6"/>
      <c r="G5" s="6"/>
      <c r="H5" s="6"/>
      <c r="I5" s="6"/>
      <c r="J5" s="6"/>
      <c r="K5" s="6"/>
      <c r="L5" s="6"/>
      <c r="M5" s="6"/>
      <c r="N5" s="6"/>
      <c r="O5" s="6"/>
      <c r="P5" s="6"/>
      <c r="Q5" s="6"/>
      <c r="R5" s="6"/>
      <c r="S5" s="6"/>
      <c r="T5" s="6"/>
      <c r="U5" s="6"/>
      <c r="V5" s="6"/>
      <c r="W5" s="6"/>
    </row>
    <row r="6" spans="1:23" x14ac:dyDescent="0.25">
      <c r="A6" s="6"/>
      <c r="B6" s="6"/>
      <c r="C6" s="6"/>
      <c r="D6" s="6"/>
      <c r="E6" s="6"/>
      <c r="F6" s="6"/>
      <c r="G6" s="6"/>
      <c r="H6" s="6"/>
      <c r="I6" s="6"/>
      <c r="J6" s="6"/>
      <c r="K6" s="6"/>
      <c r="L6" s="6"/>
      <c r="M6" s="6"/>
      <c r="N6" s="6"/>
      <c r="O6" s="6"/>
      <c r="P6" s="6"/>
      <c r="Q6" s="6"/>
      <c r="R6" s="6"/>
      <c r="S6" s="6"/>
      <c r="T6" s="6"/>
      <c r="U6" s="6"/>
      <c r="V6" s="6"/>
      <c r="W6" s="6"/>
    </row>
    <row r="7" spans="1:23" x14ac:dyDescent="0.25">
      <c r="A7" s="6"/>
      <c r="B7" s="6"/>
      <c r="C7" s="6"/>
      <c r="D7" s="6"/>
      <c r="E7" s="6"/>
      <c r="F7" s="6"/>
      <c r="G7" s="6"/>
      <c r="H7" s="6"/>
      <c r="I7" s="6"/>
      <c r="J7" s="6"/>
      <c r="K7" s="6"/>
      <c r="L7" s="6"/>
      <c r="M7" s="6"/>
      <c r="N7" s="6"/>
      <c r="O7" s="6"/>
      <c r="P7" s="6"/>
      <c r="Q7" s="6"/>
      <c r="R7" s="6"/>
      <c r="S7" s="6"/>
      <c r="T7" s="6"/>
      <c r="U7" s="6"/>
      <c r="V7" s="6"/>
      <c r="W7" s="6"/>
    </row>
    <row r="8" spans="1:23" x14ac:dyDescent="0.25">
      <c r="A8" s="6"/>
      <c r="B8" s="6"/>
      <c r="C8" s="6"/>
      <c r="D8" s="6"/>
      <c r="E8" s="6"/>
      <c r="F8" s="6"/>
      <c r="G8" s="6"/>
      <c r="H8" s="6"/>
      <c r="I8" s="6"/>
      <c r="J8" s="6"/>
      <c r="K8" s="6"/>
      <c r="L8" s="6"/>
      <c r="M8" s="6"/>
      <c r="N8" s="6"/>
      <c r="O8" s="6"/>
      <c r="P8" s="6"/>
      <c r="Q8" s="6"/>
      <c r="R8" s="6"/>
      <c r="S8" s="6"/>
      <c r="T8" s="6"/>
      <c r="U8" s="6"/>
      <c r="V8" s="6"/>
      <c r="W8" s="6"/>
    </row>
    <row r="9" spans="1:23" x14ac:dyDescent="0.25">
      <c r="A9" s="6"/>
      <c r="B9" s="6"/>
      <c r="C9" s="6"/>
      <c r="D9" s="6"/>
      <c r="E9" s="6"/>
      <c r="F9" s="6"/>
      <c r="G9" s="6"/>
      <c r="H9" s="6"/>
      <c r="I9" s="6"/>
      <c r="J9" s="6"/>
      <c r="K9" s="6"/>
      <c r="L9" s="6"/>
      <c r="M9" s="6"/>
      <c r="N9" s="6"/>
      <c r="O9" s="6"/>
      <c r="P9" s="6"/>
      <c r="Q9" s="6"/>
      <c r="R9" s="6"/>
      <c r="S9" s="6"/>
      <c r="T9" s="6"/>
      <c r="U9" s="6"/>
      <c r="V9" s="6"/>
      <c r="W9" s="6"/>
    </row>
    <row r="10" spans="1:23" x14ac:dyDescent="0.25">
      <c r="A10" s="6"/>
      <c r="B10" s="6"/>
      <c r="C10" s="6"/>
      <c r="D10" s="6"/>
      <c r="E10" s="6"/>
      <c r="F10" s="6"/>
      <c r="G10" s="6"/>
      <c r="H10" s="6"/>
      <c r="I10" s="6"/>
      <c r="J10" s="6"/>
      <c r="K10" s="6"/>
      <c r="L10" s="6"/>
      <c r="M10" s="6"/>
      <c r="N10" s="6"/>
      <c r="O10" s="6"/>
      <c r="P10" s="6"/>
      <c r="Q10" s="6"/>
      <c r="R10" s="6"/>
      <c r="S10" s="6"/>
      <c r="T10" s="6"/>
      <c r="U10" s="6"/>
      <c r="V10" s="6"/>
      <c r="W10" s="6"/>
    </row>
    <row r="11" spans="1:23" x14ac:dyDescent="0.25">
      <c r="A11" s="6"/>
      <c r="B11" s="6"/>
      <c r="C11" s="6"/>
      <c r="D11" s="6"/>
      <c r="E11" s="6"/>
      <c r="F11" s="6"/>
      <c r="G11" s="6"/>
      <c r="H11" s="6"/>
      <c r="I11" s="6"/>
      <c r="J11" s="6"/>
      <c r="K11" s="6"/>
      <c r="L11" s="6"/>
      <c r="M11" s="6"/>
      <c r="N11" s="6"/>
      <c r="O11" s="6"/>
      <c r="P11" s="6"/>
      <c r="Q11" s="6"/>
      <c r="R11" s="6"/>
      <c r="S11" s="6"/>
      <c r="T11" s="6"/>
      <c r="U11" s="6"/>
      <c r="V11" s="6"/>
      <c r="W11" s="6"/>
    </row>
    <row r="12" spans="1:23" x14ac:dyDescent="0.25">
      <c r="A12" s="6"/>
      <c r="B12" s="6"/>
      <c r="C12" s="6"/>
      <c r="D12" s="6"/>
      <c r="E12" s="6"/>
      <c r="F12" s="6"/>
      <c r="G12" s="6"/>
      <c r="H12" s="6"/>
      <c r="I12" s="6"/>
      <c r="J12" s="6"/>
      <c r="K12" s="6"/>
      <c r="L12" s="6"/>
      <c r="M12" s="6"/>
      <c r="N12" s="6"/>
      <c r="O12" s="6"/>
      <c r="P12" s="6"/>
      <c r="Q12" s="6"/>
      <c r="R12" s="6"/>
      <c r="S12" s="6"/>
      <c r="T12" s="6"/>
      <c r="U12" s="6"/>
      <c r="V12" s="6"/>
      <c r="W12" s="6"/>
    </row>
    <row r="13" spans="1:23" x14ac:dyDescent="0.25">
      <c r="A13" s="6"/>
      <c r="B13" s="6"/>
      <c r="C13" s="6"/>
      <c r="D13" s="6"/>
      <c r="E13" s="6"/>
      <c r="F13" s="6"/>
      <c r="G13" s="6"/>
      <c r="H13" s="6"/>
      <c r="I13" s="6"/>
      <c r="J13" s="6"/>
      <c r="K13" s="6"/>
      <c r="L13" s="6"/>
      <c r="M13" s="6"/>
      <c r="N13" s="6"/>
      <c r="O13" s="6"/>
      <c r="P13" s="6"/>
      <c r="Q13" s="6"/>
      <c r="R13" s="6"/>
      <c r="S13" s="6"/>
      <c r="T13" s="6"/>
      <c r="U13" s="6"/>
      <c r="V13" s="6"/>
      <c r="W13" s="6"/>
    </row>
    <row r="14" spans="1:23" x14ac:dyDescent="0.25">
      <c r="A14" s="6"/>
      <c r="B14" s="6"/>
      <c r="C14" s="6"/>
      <c r="D14" s="6"/>
      <c r="E14" s="6"/>
      <c r="F14" s="6"/>
      <c r="G14" s="6"/>
      <c r="H14" s="6"/>
      <c r="I14" s="6"/>
      <c r="J14" s="6"/>
      <c r="K14" s="6"/>
      <c r="L14" s="6"/>
      <c r="M14" s="6"/>
      <c r="N14" s="6"/>
      <c r="O14" s="6"/>
      <c r="P14" s="6"/>
      <c r="Q14" s="6"/>
      <c r="R14" s="6"/>
      <c r="S14" s="6"/>
      <c r="T14" s="6"/>
      <c r="U14" s="6"/>
      <c r="V14" s="6"/>
      <c r="W14" s="6"/>
    </row>
    <row r="15" spans="1:23" x14ac:dyDescent="0.25">
      <c r="A15" s="6"/>
      <c r="B15" s="6"/>
      <c r="C15" s="6"/>
      <c r="D15" s="6"/>
      <c r="E15" s="6"/>
      <c r="F15" s="6"/>
      <c r="G15" s="6"/>
      <c r="H15" s="6"/>
      <c r="I15" s="6"/>
      <c r="J15" s="6"/>
      <c r="K15" s="6"/>
      <c r="L15" s="6"/>
      <c r="M15" s="6"/>
      <c r="N15" s="6"/>
      <c r="O15" s="6"/>
      <c r="P15" s="6"/>
      <c r="Q15" s="6"/>
      <c r="R15" s="6"/>
      <c r="S15" s="6"/>
      <c r="T15" s="6"/>
      <c r="U15" s="6"/>
      <c r="V15" s="6"/>
      <c r="W15" s="6"/>
    </row>
    <row r="16" spans="1:23" x14ac:dyDescent="0.25">
      <c r="A16" s="6"/>
      <c r="B16" s="6"/>
      <c r="C16" s="6"/>
      <c r="D16" s="6"/>
      <c r="E16" s="6"/>
      <c r="F16" s="6"/>
      <c r="G16" s="6"/>
      <c r="H16" s="6"/>
      <c r="I16" s="6"/>
      <c r="J16" s="6"/>
      <c r="K16" s="6"/>
      <c r="L16" s="6"/>
      <c r="M16" s="6"/>
      <c r="N16" s="6"/>
      <c r="O16" s="6"/>
      <c r="P16" s="6"/>
      <c r="Q16" s="6"/>
      <c r="R16" s="6"/>
      <c r="S16" s="6"/>
      <c r="T16" s="6"/>
      <c r="U16" s="6"/>
      <c r="V16" s="6"/>
      <c r="W16" s="6"/>
    </row>
    <row r="17" spans="1:23" x14ac:dyDescent="0.25">
      <c r="A17" s="6"/>
      <c r="B17" s="6"/>
      <c r="C17" s="6"/>
      <c r="D17" s="6"/>
      <c r="E17" s="6"/>
      <c r="F17" s="6"/>
      <c r="G17" s="6"/>
      <c r="H17" s="6"/>
      <c r="I17" s="6"/>
      <c r="J17" s="6"/>
      <c r="K17" s="6"/>
      <c r="L17" s="6"/>
      <c r="M17" s="6"/>
      <c r="N17" s="6"/>
      <c r="O17" s="6"/>
      <c r="P17" s="6"/>
      <c r="Q17" s="6"/>
      <c r="R17" s="6"/>
      <c r="S17" s="6"/>
      <c r="T17" s="6"/>
      <c r="U17" s="6"/>
      <c r="V17" s="6"/>
      <c r="W17" s="6"/>
    </row>
    <row r="18" spans="1:23" x14ac:dyDescent="0.25">
      <c r="A18" s="6"/>
      <c r="B18" s="6"/>
      <c r="C18" s="6"/>
      <c r="D18" s="6"/>
      <c r="E18" s="6"/>
      <c r="F18" s="6"/>
      <c r="G18" s="6"/>
      <c r="H18" s="6"/>
      <c r="I18" s="6"/>
      <c r="J18" s="6"/>
      <c r="K18" s="6"/>
      <c r="L18" s="6"/>
      <c r="M18" s="6"/>
      <c r="N18" s="6"/>
      <c r="O18" s="6"/>
      <c r="P18" s="6"/>
      <c r="Q18" s="6"/>
      <c r="R18" s="6"/>
      <c r="S18" s="6"/>
      <c r="T18" s="6"/>
      <c r="U18" s="6"/>
      <c r="V18" s="6"/>
      <c r="W18" s="6"/>
    </row>
    <row r="19" spans="1:23" x14ac:dyDescent="0.25">
      <c r="A19" s="6"/>
      <c r="B19" s="6"/>
      <c r="C19" s="6"/>
      <c r="D19" s="6"/>
      <c r="E19" s="6"/>
      <c r="F19" s="6"/>
      <c r="G19" s="6"/>
      <c r="H19" s="6"/>
      <c r="I19" s="6"/>
      <c r="J19" s="6"/>
      <c r="K19" s="6"/>
      <c r="L19" s="6"/>
      <c r="M19" s="6"/>
      <c r="N19" s="6"/>
      <c r="O19" s="6"/>
      <c r="P19" s="6"/>
      <c r="Q19" s="6"/>
      <c r="R19" s="6"/>
      <c r="S19" s="6"/>
      <c r="T19" s="6"/>
      <c r="U19" s="6"/>
      <c r="V19" s="6"/>
      <c r="W19" s="6"/>
    </row>
    <row r="20" spans="1:23" x14ac:dyDescent="0.25">
      <c r="A20" s="6"/>
      <c r="B20" s="6"/>
      <c r="C20" s="6"/>
      <c r="D20" s="6"/>
      <c r="E20" s="6"/>
      <c r="F20" s="6"/>
      <c r="G20" s="6"/>
      <c r="H20" s="6"/>
      <c r="I20" s="6"/>
      <c r="J20" s="6"/>
      <c r="K20" s="6"/>
      <c r="L20" s="6"/>
      <c r="M20" s="6"/>
      <c r="N20" s="6"/>
      <c r="O20" s="6"/>
      <c r="P20" s="6"/>
      <c r="Q20" s="6"/>
      <c r="R20" s="6"/>
      <c r="S20" s="6"/>
      <c r="T20" s="6"/>
      <c r="U20" s="6"/>
      <c r="V20" s="6"/>
      <c r="W20" s="6"/>
    </row>
    <row r="21" spans="1:23" x14ac:dyDescent="0.25">
      <c r="A21" s="6"/>
      <c r="B21" s="6"/>
      <c r="C21" s="6"/>
      <c r="D21" s="6"/>
      <c r="E21" s="6"/>
      <c r="F21" s="6"/>
      <c r="G21" s="6"/>
      <c r="H21" s="6"/>
      <c r="I21" s="6"/>
      <c r="J21" s="6"/>
      <c r="K21" s="6"/>
      <c r="L21" s="6"/>
      <c r="M21" s="6"/>
      <c r="N21" s="6"/>
      <c r="O21" s="6"/>
      <c r="P21" s="6"/>
      <c r="Q21" s="6"/>
      <c r="R21" s="6"/>
      <c r="S21" s="6"/>
      <c r="T21" s="6"/>
      <c r="U21" s="6"/>
      <c r="V21" s="6"/>
      <c r="W21" s="6"/>
    </row>
    <row r="22" spans="1:23" x14ac:dyDescent="0.25">
      <c r="A22" s="6"/>
      <c r="B22" s="6"/>
      <c r="C22" s="6"/>
      <c r="D22" s="6"/>
      <c r="E22" s="6"/>
      <c r="F22" s="6"/>
      <c r="G22" s="6"/>
      <c r="H22" s="6"/>
      <c r="I22" s="6"/>
      <c r="J22" s="6"/>
      <c r="K22" s="6"/>
      <c r="L22" s="6"/>
      <c r="M22" s="6"/>
      <c r="N22" s="6"/>
      <c r="O22" s="6"/>
      <c r="P22" s="6"/>
      <c r="Q22" s="6"/>
      <c r="R22" s="6"/>
      <c r="S22" s="6"/>
      <c r="T22" s="6"/>
      <c r="U22" s="6"/>
      <c r="V22" s="6"/>
      <c r="W22" s="6"/>
    </row>
    <row r="23" spans="1:23" x14ac:dyDescent="0.25">
      <c r="A23" s="6"/>
      <c r="B23" s="6"/>
      <c r="C23" s="6"/>
      <c r="D23" s="6"/>
      <c r="E23" s="6"/>
      <c r="F23" s="6"/>
      <c r="G23" s="6"/>
      <c r="H23" s="6"/>
      <c r="I23" s="6"/>
      <c r="J23" s="6"/>
      <c r="K23" s="6"/>
      <c r="L23" s="6"/>
      <c r="M23" s="6"/>
      <c r="N23" s="6"/>
      <c r="O23" s="6"/>
      <c r="P23" s="6"/>
      <c r="Q23" s="6"/>
      <c r="R23" s="6"/>
      <c r="S23" s="6"/>
      <c r="T23" s="6"/>
      <c r="U23" s="6"/>
      <c r="V23" s="6"/>
      <c r="W23" s="6"/>
    </row>
  </sheetData>
  <mergeCells count="2">
    <mergeCell ref="I1:P2"/>
    <mergeCell ref="G3:T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DCE33-3B67-44E3-83F2-BE22B666DF40}">
  <dimension ref="A1:U22"/>
  <sheetViews>
    <sheetView showGridLines="0" tabSelected="1" zoomScaleNormal="100" workbookViewId="0">
      <selection activeCell="G24" sqref="G24"/>
    </sheetView>
  </sheetViews>
  <sheetFormatPr defaultRowHeight="15" x14ac:dyDescent="0.25"/>
  <sheetData>
    <row r="1" spans="1:21" ht="15" customHeight="1" x14ac:dyDescent="0.25">
      <c r="A1" s="7"/>
      <c r="B1" s="7"/>
      <c r="C1" s="7"/>
      <c r="D1" s="7"/>
      <c r="E1" s="7"/>
      <c r="F1" s="7"/>
      <c r="G1" s="7"/>
      <c r="H1" s="7"/>
      <c r="I1" s="23" t="s">
        <v>41</v>
      </c>
      <c r="J1" s="23"/>
      <c r="K1" s="23"/>
      <c r="L1" s="23"/>
      <c r="M1" s="23"/>
      <c r="N1" s="23"/>
      <c r="O1" s="23"/>
      <c r="P1" s="23"/>
      <c r="Q1" s="7"/>
      <c r="R1" s="7"/>
      <c r="S1" s="7"/>
      <c r="T1" s="7"/>
      <c r="U1" s="7"/>
    </row>
    <row r="2" spans="1:21" ht="15" customHeight="1" x14ac:dyDescent="0.25">
      <c r="A2" s="7"/>
      <c r="B2" s="7"/>
      <c r="C2" s="7"/>
      <c r="D2" s="7"/>
      <c r="E2" s="7"/>
      <c r="F2" s="7"/>
      <c r="G2" s="7"/>
      <c r="H2" s="7"/>
      <c r="I2" s="23"/>
      <c r="J2" s="23"/>
      <c r="K2" s="23"/>
      <c r="L2" s="23"/>
      <c r="M2" s="23"/>
      <c r="N2" s="23"/>
      <c r="O2" s="23"/>
      <c r="P2" s="23"/>
      <c r="Q2" s="7"/>
      <c r="R2" s="7"/>
      <c r="S2" s="7"/>
      <c r="T2" s="7"/>
      <c r="U2" s="7"/>
    </row>
    <row r="3" spans="1:21" x14ac:dyDescent="0.25">
      <c r="A3" s="7"/>
      <c r="B3" s="7"/>
      <c r="C3" s="7"/>
      <c r="D3" s="7"/>
      <c r="E3" s="7"/>
      <c r="F3" s="7"/>
      <c r="G3" s="24" t="s">
        <v>42</v>
      </c>
      <c r="H3" s="24"/>
      <c r="I3" s="24"/>
      <c r="J3" s="24"/>
      <c r="K3" s="24"/>
      <c r="L3" s="24"/>
      <c r="M3" s="24"/>
      <c r="N3" s="24"/>
      <c r="O3" s="24"/>
      <c r="P3" s="24"/>
      <c r="Q3" s="24"/>
      <c r="R3" s="24"/>
      <c r="S3" s="24"/>
      <c r="T3" s="24"/>
      <c r="U3" s="7"/>
    </row>
    <row r="4" spans="1:21" x14ac:dyDescent="0.25">
      <c r="A4" s="7"/>
      <c r="B4" s="7"/>
      <c r="C4" s="7"/>
      <c r="D4" s="7"/>
      <c r="E4" s="7"/>
      <c r="F4" s="7"/>
      <c r="G4" s="24"/>
      <c r="H4" s="24"/>
      <c r="I4" s="24"/>
      <c r="J4" s="24"/>
      <c r="K4" s="24"/>
      <c r="L4" s="24"/>
      <c r="M4" s="24"/>
      <c r="N4" s="24"/>
      <c r="O4" s="24"/>
      <c r="P4" s="24"/>
      <c r="Q4" s="24"/>
      <c r="R4" s="24"/>
      <c r="S4" s="24"/>
      <c r="T4" s="24"/>
      <c r="U4" s="7"/>
    </row>
    <row r="5" spans="1:21" x14ac:dyDescent="0.25">
      <c r="A5" s="6"/>
      <c r="B5" s="6"/>
      <c r="C5" s="6"/>
      <c r="D5" s="6"/>
      <c r="E5" s="6"/>
      <c r="F5" s="6"/>
      <c r="G5" s="6"/>
      <c r="H5" s="6"/>
      <c r="I5" s="6"/>
      <c r="J5" s="6"/>
      <c r="K5" s="6"/>
      <c r="L5" s="6"/>
      <c r="M5" s="6"/>
      <c r="N5" s="6"/>
      <c r="O5" s="6"/>
      <c r="P5" s="6"/>
      <c r="Q5" s="6"/>
      <c r="R5" s="6"/>
      <c r="S5" s="6"/>
      <c r="T5" s="6"/>
      <c r="U5" s="6"/>
    </row>
    <row r="6" spans="1:21" x14ac:dyDescent="0.25">
      <c r="A6" s="6"/>
      <c r="B6" s="6"/>
      <c r="C6" s="6"/>
      <c r="D6" s="6"/>
      <c r="E6" s="6"/>
      <c r="F6" s="6"/>
      <c r="G6" s="6"/>
      <c r="H6" s="6"/>
      <c r="I6" s="6"/>
      <c r="J6" s="6"/>
      <c r="K6" s="6"/>
      <c r="L6" s="6"/>
      <c r="M6" s="6"/>
      <c r="N6" s="6"/>
      <c r="O6" s="6"/>
      <c r="P6" s="6"/>
      <c r="Q6" s="6"/>
      <c r="R6" s="6"/>
      <c r="S6" s="6"/>
      <c r="T6" s="6"/>
      <c r="U6" s="6"/>
    </row>
    <row r="7" spans="1:21" x14ac:dyDescent="0.25">
      <c r="A7" s="6"/>
      <c r="B7" s="6"/>
      <c r="C7" s="6"/>
      <c r="D7" s="6"/>
      <c r="E7" s="6"/>
      <c r="F7" s="6"/>
      <c r="G7" s="6"/>
      <c r="H7" s="6"/>
      <c r="I7" s="6"/>
      <c r="J7" s="6"/>
      <c r="K7" s="6"/>
      <c r="L7" s="6"/>
      <c r="M7" s="6"/>
      <c r="N7" s="6"/>
      <c r="O7" s="6"/>
      <c r="P7" s="6"/>
      <c r="Q7" s="6"/>
      <c r="R7" s="6"/>
      <c r="S7" s="6"/>
      <c r="T7" s="6"/>
      <c r="U7" s="6"/>
    </row>
    <row r="8" spans="1:21" x14ac:dyDescent="0.25">
      <c r="A8" s="6"/>
      <c r="B8" s="6"/>
      <c r="C8" s="6"/>
      <c r="D8" s="6"/>
      <c r="E8" s="6"/>
      <c r="F8" s="6"/>
      <c r="G8" s="6"/>
      <c r="H8" s="6"/>
      <c r="I8" s="6"/>
      <c r="J8" s="6"/>
      <c r="K8" s="6"/>
      <c r="L8" s="6"/>
      <c r="M8" s="6"/>
      <c r="N8" s="6"/>
      <c r="O8" s="6"/>
      <c r="P8" s="6"/>
      <c r="Q8" s="6"/>
      <c r="R8" s="6"/>
      <c r="S8" s="6"/>
      <c r="T8" s="6"/>
      <c r="U8" s="6"/>
    </row>
    <row r="9" spans="1:21" x14ac:dyDescent="0.25">
      <c r="A9" s="6"/>
      <c r="B9" s="6"/>
      <c r="C9" s="6"/>
      <c r="D9" s="6"/>
      <c r="E9" s="6"/>
      <c r="F9" s="6"/>
      <c r="G9" s="6"/>
      <c r="H9" s="6"/>
      <c r="I9" s="6"/>
      <c r="J9" s="6"/>
      <c r="K9" s="6"/>
      <c r="L9" s="6"/>
      <c r="M9" s="6"/>
      <c r="N9" s="6"/>
      <c r="O9" s="6"/>
      <c r="P9" s="6"/>
      <c r="Q9" s="6"/>
      <c r="R9" s="6"/>
      <c r="S9" s="6"/>
      <c r="T9" s="6"/>
      <c r="U9" s="6"/>
    </row>
    <row r="10" spans="1:21" x14ac:dyDescent="0.25">
      <c r="A10" s="6"/>
      <c r="B10" s="6"/>
      <c r="C10" s="6"/>
      <c r="D10" s="6"/>
      <c r="E10" s="6"/>
      <c r="F10" s="6"/>
      <c r="G10" s="6"/>
      <c r="H10" s="6"/>
      <c r="I10" s="6"/>
      <c r="J10" s="6"/>
      <c r="K10" s="6"/>
      <c r="L10" s="6"/>
      <c r="M10" s="6"/>
      <c r="N10" s="6"/>
      <c r="O10" s="6"/>
      <c r="P10" s="6"/>
      <c r="Q10" s="6"/>
      <c r="R10" s="6"/>
      <c r="S10" s="6"/>
      <c r="T10" s="6"/>
      <c r="U10" s="6"/>
    </row>
    <row r="11" spans="1:21" x14ac:dyDescent="0.25">
      <c r="A11" s="6"/>
      <c r="B11" s="6"/>
      <c r="C11" s="6"/>
      <c r="D11" s="6"/>
      <c r="E11" s="6"/>
      <c r="F11" s="6"/>
      <c r="G11" s="6"/>
      <c r="H11" s="6"/>
      <c r="I11" s="6"/>
      <c r="J11" s="6"/>
      <c r="K11" s="6"/>
      <c r="L11" s="6"/>
      <c r="M11" s="6"/>
      <c r="N11" s="6"/>
      <c r="O11" s="6"/>
      <c r="P11" s="6"/>
      <c r="Q11" s="6"/>
      <c r="R11" s="6"/>
      <c r="S11" s="6"/>
      <c r="T11" s="6"/>
      <c r="U11" s="6"/>
    </row>
    <row r="12" spans="1:21" x14ac:dyDescent="0.25">
      <c r="A12" s="6"/>
      <c r="B12" s="6"/>
      <c r="C12" s="6"/>
      <c r="D12" s="6"/>
      <c r="E12" s="6"/>
      <c r="F12" s="6"/>
      <c r="G12" s="6"/>
      <c r="H12" s="6"/>
      <c r="I12" s="6"/>
      <c r="J12" s="6"/>
      <c r="K12" s="6"/>
      <c r="L12" s="6"/>
      <c r="M12" s="6"/>
      <c r="N12" s="6"/>
      <c r="O12" s="6"/>
      <c r="P12" s="6"/>
      <c r="Q12" s="6"/>
      <c r="R12" s="6"/>
      <c r="S12" s="6"/>
      <c r="T12" s="6"/>
      <c r="U12" s="6"/>
    </row>
    <row r="13" spans="1:21" x14ac:dyDescent="0.25">
      <c r="A13" s="6"/>
      <c r="B13" s="6"/>
      <c r="C13" s="6"/>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25" t="s">
        <v>45</v>
      </c>
      <c r="G19" s="25"/>
      <c r="H19" s="25"/>
      <c r="I19" s="25"/>
      <c r="J19" s="6"/>
      <c r="K19" s="6"/>
      <c r="L19" s="6"/>
      <c r="M19" s="6"/>
      <c r="N19" s="6"/>
      <c r="O19" s="6"/>
      <c r="P19" s="6"/>
      <c r="Q19" s="25" t="s">
        <v>44</v>
      </c>
      <c r="R19" s="25"/>
      <c r="S19" s="25"/>
      <c r="T19" s="25"/>
      <c r="U19" s="6"/>
    </row>
    <row r="20" spans="1:21" ht="15" customHeight="1" x14ac:dyDescent="0.25">
      <c r="A20" s="6"/>
      <c r="B20" s="6"/>
      <c r="C20" s="6"/>
      <c r="D20" s="6"/>
      <c r="E20" s="6"/>
      <c r="F20" s="25"/>
      <c r="G20" s="25"/>
      <c r="H20" s="25"/>
      <c r="I20" s="25"/>
      <c r="J20" s="6"/>
      <c r="K20" s="20"/>
      <c r="L20" s="25" t="s">
        <v>43</v>
      </c>
      <c r="M20" s="25"/>
      <c r="N20" s="25"/>
      <c r="O20" s="25"/>
      <c r="P20" s="20"/>
      <c r="Q20" s="25"/>
      <c r="R20" s="25"/>
      <c r="S20" s="25"/>
      <c r="T20" s="25"/>
      <c r="U20" s="6"/>
    </row>
    <row r="21" spans="1:21" x14ac:dyDescent="0.25">
      <c r="A21" s="6"/>
      <c r="B21" s="6"/>
      <c r="C21" s="6"/>
      <c r="D21" s="6"/>
      <c r="E21" s="6"/>
      <c r="F21" s="6"/>
      <c r="G21" s="6"/>
      <c r="H21" s="6"/>
      <c r="I21" s="6"/>
      <c r="J21" s="6"/>
      <c r="K21" s="20"/>
      <c r="L21" s="25"/>
      <c r="M21" s="25"/>
      <c r="N21" s="25"/>
      <c r="O21" s="25"/>
      <c r="P21" s="6"/>
      <c r="Q21" s="25"/>
      <c r="R21" s="25"/>
      <c r="S21" s="25"/>
      <c r="T21" s="25"/>
      <c r="U21" s="6"/>
    </row>
    <row r="22" spans="1:21" x14ac:dyDescent="0.25">
      <c r="A22" s="6"/>
      <c r="B22" s="6"/>
      <c r="C22" s="6"/>
      <c r="D22" s="6"/>
      <c r="E22" s="6"/>
      <c r="F22" s="6"/>
      <c r="G22" s="6"/>
      <c r="H22" s="6"/>
      <c r="I22" s="6"/>
      <c r="J22" s="6"/>
      <c r="K22" s="6"/>
      <c r="L22" s="6"/>
      <c r="M22" s="6"/>
      <c r="N22" s="6"/>
      <c r="O22" s="6"/>
      <c r="P22" s="6"/>
      <c r="Q22" s="6"/>
      <c r="R22" s="6"/>
      <c r="S22" s="6"/>
      <c r="T22" s="6"/>
      <c r="U22" s="6"/>
    </row>
  </sheetData>
  <mergeCells count="5">
    <mergeCell ref="I1:P2"/>
    <mergeCell ref="G3:T4"/>
    <mergeCell ref="L20:O21"/>
    <mergeCell ref="Q19:T21"/>
    <mergeCell ref="F19:I2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Sheet3</vt:lpstr>
      <vt:lpstr>Sheet9</vt:lpstr>
      <vt:lpstr>Sheet4</vt:lpstr>
      <vt:lpstr>Sheet5</vt:lpstr>
      <vt:lpstr>Sheet2</vt:lpstr>
      <vt:lpstr>Sheet6</vt:lpstr>
      <vt:lpstr>Sheet8</vt:lpstr>
      <vt:lpstr>Sheet10</vt:lpstr>
      <vt:lpstr>Sheet1</vt:lpstr>
      <vt:lpstr>Sheet7</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saziya sheikh</dc:creator>
  <cp:lastModifiedBy>saziya sheikh</cp:lastModifiedBy>
  <dcterms:created xsi:type="dcterms:W3CDTF">2026-01-31T13:43:49Z</dcterms:created>
  <dcterms:modified xsi:type="dcterms:W3CDTF">2026-02-14T06:28:18Z</dcterms:modified>
</cp:coreProperties>
</file>